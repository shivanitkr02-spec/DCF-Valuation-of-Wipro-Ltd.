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fb6080fef49159c/Desktop/PROJECTS SPARKIIT/"/>
    </mc:Choice>
  </mc:AlternateContent>
  <xr:revisionPtr revIDLastSave="10" documentId="11_C3B28AF79751F77C7D2D3A5ABC7223E9FDD3C431" xr6:coauthVersionLast="47" xr6:coauthVersionMax="47" xr10:uidLastSave="{C2E73458-77CF-44EE-B20F-A66F93E55651}"/>
  <bookViews>
    <workbookView xWindow="-110" yWindow="-110" windowWidth="19420" windowHeight="11500" tabRatio="500" firstSheet="2" activeTab="4" xr2:uid="{00000000-000D-0000-FFFF-FFFF00000000}"/>
  </bookViews>
  <sheets>
    <sheet name="Cover" sheetId="1" r:id="rId1"/>
    <sheet name="Historical Financials" sheetId="2" r:id="rId2"/>
    <sheet name="Assumptions" sheetId="3" r:id="rId3"/>
    <sheet name="Financial Forecasts" sheetId="4" r:id="rId4"/>
    <sheet name="DCF 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5" l="1"/>
  <c r="C21" i="5"/>
  <c r="C13" i="5"/>
  <c r="C12" i="5"/>
  <c r="G7" i="5"/>
  <c r="F7" i="5"/>
  <c r="E7" i="5"/>
  <c r="D7" i="5"/>
  <c r="C7" i="5"/>
  <c r="C14" i="4"/>
  <c r="C10" i="4"/>
  <c r="C13" i="4" s="1"/>
  <c r="C8" i="4"/>
  <c r="C11" i="4" s="1"/>
  <c r="C12" i="4" s="1"/>
  <c r="C6" i="4"/>
  <c r="C7" i="4" s="1"/>
  <c r="C29" i="3"/>
  <c r="C26" i="3"/>
  <c r="C27" i="3" s="1"/>
  <c r="C24" i="3"/>
  <c r="G37" i="2"/>
  <c r="F37" i="2"/>
  <c r="E37" i="2"/>
  <c r="D37" i="2"/>
  <c r="C37" i="2"/>
  <c r="G36" i="2"/>
  <c r="F36" i="2"/>
  <c r="E36" i="2"/>
  <c r="D36" i="2"/>
  <c r="C36" i="2"/>
  <c r="G30" i="2"/>
  <c r="F30" i="2"/>
  <c r="E30" i="2"/>
  <c r="D30" i="2"/>
  <c r="C30" i="2"/>
  <c r="F27" i="2"/>
  <c r="E27" i="2"/>
  <c r="D27" i="2"/>
  <c r="C27" i="2"/>
  <c r="G26" i="2"/>
  <c r="G27" i="2" s="1"/>
  <c r="F26" i="2"/>
  <c r="E26" i="2"/>
  <c r="D26" i="2"/>
  <c r="C26" i="2"/>
  <c r="G15" i="2"/>
  <c r="G35" i="2" s="1"/>
  <c r="F15" i="2"/>
  <c r="F16" i="2" s="1"/>
  <c r="E15" i="2"/>
  <c r="E16" i="2" s="1"/>
  <c r="D15" i="2"/>
  <c r="D35" i="2" s="1"/>
  <c r="G12" i="2"/>
  <c r="G13" i="2" s="1"/>
  <c r="F12" i="2"/>
  <c r="F13" i="2" s="1"/>
  <c r="E12" i="2"/>
  <c r="E13" i="2" s="1"/>
  <c r="D12" i="2"/>
  <c r="D13" i="2" s="1"/>
  <c r="C12" i="2"/>
  <c r="C15" i="2" s="1"/>
  <c r="G10" i="2"/>
  <c r="F10" i="2"/>
  <c r="E10" i="2"/>
  <c r="G9" i="2"/>
  <c r="F9" i="2"/>
  <c r="E9" i="2"/>
  <c r="D9" i="2"/>
  <c r="D10" i="2" s="1"/>
  <c r="C9" i="2"/>
  <c r="C10" i="2" s="1"/>
  <c r="G7" i="2"/>
  <c r="F7" i="2"/>
  <c r="E7" i="2"/>
  <c r="D7" i="2"/>
  <c r="C18" i="2" l="1"/>
  <c r="C20" i="2" s="1"/>
  <c r="C16" i="2"/>
  <c r="C35" i="2"/>
  <c r="C30" i="3"/>
  <c r="D16" i="2"/>
  <c r="F35" i="2"/>
  <c r="C9" i="4"/>
  <c r="D18" i="2"/>
  <c r="D20" i="2" s="1"/>
  <c r="E18" i="2"/>
  <c r="E20" i="2" s="1"/>
  <c r="C15" i="4"/>
  <c r="C16" i="4" s="1"/>
  <c r="F18" i="2"/>
  <c r="F20" i="2" s="1"/>
  <c r="E35" i="2"/>
  <c r="C13" i="2"/>
  <c r="G16" i="2"/>
  <c r="D6" i="4"/>
  <c r="G18" i="2"/>
  <c r="G20" i="2" s="1"/>
  <c r="C17" i="4" l="1"/>
  <c r="C5" i="5"/>
  <c r="C8" i="5" s="1"/>
  <c r="F21" i="2"/>
  <c r="F34" i="2"/>
  <c r="E21" i="2"/>
  <c r="E34" i="2"/>
  <c r="D21" i="2"/>
  <c r="D34" i="2"/>
  <c r="G34" i="2"/>
  <c r="G21" i="2"/>
  <c r="D14" i="4"/>
  <c r="D10" i="4"/>
  <c r="D13" i="4" s="1"/>
  <c r="E6" i="4"/>
  <c r="D7" i="4"/>
  <c r="D15" i="4"/>
  <c r="D8" i="4"/>
  <c r="C21" i="2"/>
  <c r="C34" i="2"/>
  <c r="E15" i="4" l="1"/>
  <c r="E8" i="4"/>
  <c r="E10" i="4"/>
  <c r="E13" i="4" s="1"/>
  <c r="F6" i="4"/>
  <c r="E14" i="4"/>
  <c r="E7" i="4"/>
  <c r="D9" i="4"/>
  <c r="D11" i="4"/>
  <c r="D12" i="4" s="1"/>
  <c r="D16" i="4" s="1"/>
  <c r="D5" i="5" l="1"/>
  <c r="D8" i="5" s="1"/>
  <c r="D17" i="4"/>
  <c r="F8" i="4"/>
  <c r="F15" i="4"/>
  <c r="F14" i="4"/>
  <c r="F10" i="4"/>
  <c r="F13" i="4" s="1"/>
  <c r="F7" i="4"/>
  <c r="G6" i="4"/>
  <c r="E11" i="4"/>
  <c r="E12" i="4" s="1"/>
  <c r="E16" i="4" s="1"/>
  <c r="E9" i="4"/>
  <c r="E17" i="4" l="1"/>
  <c r="E5" i="5"/>
  <c r="E8" i="5" s="1"/>
  <c r="G14" i="4"/>
  <c r="G8" i="4"/>
  <c r="G10" i="4"/>
  <c r="G13" i="4" s="1"/>
  <c r="G7" i="4"/>
  <c r="G15" i="4"/>
  <c r="F11" i="4"/>
  <c r="F12" i="4" s="1"/>
  <c r="F16" i="4" s="1"/>
  <c r="F9" i="4"/>
  <c r="F5" i="5" l="1"/>
  <c r="F8" i="5" s="1"/>
  <c r="F17" i="4"/>
  <c r="G9" i="4"/>
  <c r="G11" i="4"/>
  <c r="G12" i="4" s="1"/>
  <c r="G16" i="4" s="1"/>
  <c r="C32" i="5" l="1"/>
  <c r="C11" i="5"/>
  <c r="C14" i="5" s="1"/>
  <c r="C15" i="5" s="1"/>
  <c r="C19" i="5" s="1"/>
  <c r="G17" i="4"/>
  <c r="G5" i="5"/>
  <c r="G8" i="5" s="1"/>
  <c r="G36" i="5" s="1"/>
  <c r="E32" i="5"/>
  <c r="C33" i="5" l="1"/>
  <c r="G33" i="5"/>
  <c r="C36" i="5"/>
  <c r="D32" i="5"/>
  <c r="E33" i="5"/>
  <c r="F36" i="5"/>
  <c r="F32" i="5"/>
  <c r="G34" i="5"/>
  <c r="C35" i="5"/>
  <c r="F35" i="5"/>
  <c r="C34" i="5"/>
  <c r="E34" i="5"/>
  <c r="F34" i="5"/>
  <c r="D33" i="5"/>
  <c r="D35" i="5"/>
  <c r="E35" i="5"/>
  <c r="D36" i="5"/>
  <c r="G32" i="5"/>
  <c r="F33" i="5"/>
  <c r="G35" i="5"/>
  <c r="E36" i="5"/>
  <c r="D34" i="5"/>
  <c r="C18" i="5"/>
  <c r="C20" i="5" s="1"/>
  <c r="C23" i="5" s="1"/>
  <c r="C25" i="5" s="1"/>
  <c r="C27" i="5" l="1"/>
  <c r="C28" i="5"/>
</calcChain>
</file>

<file path=xl/sharedStrings.xml><?xml version="1.0" encoding="utf-8"?>
<sst xmlns="http://schemas.openxmlformats.org/spreadsheetml/2006/main" count="183" uniqueCount="155">
  <si>
    <t>WIPRO LIMITED</t>
  </si>
  <si>
    <t>Discounted Cash Flow (DCF) Valuation Model</t>
  </si>
  <si>
    <t>WORKSHEET INDEX</t>
  </si>
  <si>
    <t>All figures in INR Crores unless stated otherwise  |  Sources: Wipro Annual Reports, NSE/BSE</t>
  </si>
  <si>
    <t>1</t>
  </si>
  <si>
    <t>Historical Financials</t>
  </si>
  <si>
    <t>5-year audited data (FY20–FY24)</t>
  </si>
  <si>
    <t>2</t>
  </si>
  <si>
    <t>Assumptions</t>
  </si>
  <si>
    <t>WACC, growth, margin assumptions</t>
  </si>
  <si>
    <t>3</t>
  </si>
  <si>
    <t>Financial Forecasts</t>
  </si>
  <si>
    <t>Projected P&amp;L &amp; FCF (FY25E–FY29E)</t>
  </si>
  <si>
    <t>4</t>
  </si>
  <si>
    <t>DCF Valuation</t>
  </si>
  <si>
    <t>Enterprise Value &amp; Intrinsic Share Price</t>
  </si>
  <si>
    <t>WIPRO LIMITED — Historical Financial Summary (FY2020–FY2024)</t>
  </si>
  <si>
    <t>All figures in INR Crores  |  Source: Wipro Annual Reports</t>
  </si>
  <si>
    <t>Line Item</t>
  </si>
  <si>
    <t>FY2020</t>
  </si>
  <si>
    <t>FY2021</t>
  </si>
  <si>
    <t>FY2022</t>
  </si>
  <si>
    <t>FY2023</t>
  </si>
  <si>
    <t>FY2024</t>
  </si>
  <si>
    <t>INCOME STATEMENT</t>
  </si>
  <si>
    <t>Revenue from Operations</t>
  </si>
  <si>
    <t xml:space="preserve">  YoY Growth (%)</t>
  </si>
  <si>
    <t>—</t>
  </si>
  <si>
    <t>Cost of Revenues</t>
  </si>
  <si>
    <t>Gross Profit</t>
  </si>
  <si>
    <t xml:space="preserve">  Gross Margin (%)</t>
  </si>
  <si>
    <t>SG&amp;A Expenses</t>
  </si>
  <si>
    <t>EBITDA</t>
  </si>
  <si>
    <t xml:space="preserve">  EBITDA Margin (%)</t>
  </si>
  <si>
    <t>Depreciation &amp; Amort.</t>
  </si>
  <si>
    <t>EBIT</t>
  </si>
  <si>
    <t xml:space="preserve">  EBIT Margin (%)</t>
  </si>
  <si>
    <t>Interest Expense</t>
  </si>
  <si>
    <t>PBT</t>
  </si>
  <si>
    <t>Tax</t>
  </si>
  <si>
    <t>Net Income (PAT)</t>
  </si>
  <si>
    <t xml:space="preserve">  Net Margin (%)</t>
  </si>
  <si>
    <t>CASH FLOW &amp; BALANCE SHEET ITEMS</t>
  </si>
  <si>
    <t>Operating Cash Flow (OCF)</t>
  </si>
  <si>
    <t>Capital Expenditure (CapEx)</t>
  </si>
  <si>
    <t>Free Cash Flow (FCF)</t>
  </si>
  <si>
    <t xml:space="preserve">  FCF Margin (%)</t>
  </si>
  <si>
    <t>Total Debt</t>
  </si>
  <si>
    <t>Cash &amp; Equivalents</t>
  </si>
  <si>
    <t>Net Debt / (Net Cash)</t>
  </si>
  <si>
    <t>Total Equity (Book)</t>
  </si>
  <si>
    <t>KEY FINANCIAL RATIOS</t>
  </si>
  <si>
    <t>Return on Equity (ROE)</t>
  </si>
  <si>
    <t>Return on Capital (ROCE)</t>
  </si>
  <si>
    <t>D/E Ratio</t>
  </si>
  <si>
    <t>Revenue / Employee (₹ Cr)</t>
  </si>
  <si>
    <t>Note: Revenue data sourced from Wipro Annual Report / NSE filings. Figures are approximate for illustration; verify against official filings before use.</t>
  </si>
  <si>
    <t>WIPRO LIMITED — Model Assumptions &amp; WACC</t>
  </si>
  <si>
    <t>Assumption</t>
  </si>
  <si>
    <t>Value / Input</t>
  </si>
  <si>
    <t>Notes &amp; Rationale</t>
  </si>
  <si>
    <t>Revenue Growth — FY2025E</t>
  </si>
  <si>
    <t>9% — consensus analyst estimate; reflects IT sector recovery</t>
  </si>
  <si>
    <t>Revenue Growth — FY2026E</t>
  </si>
  <si>
    <t>10% — demand acceleration in cloud &amp; AI services</t>
  </si>
  <si>
    <t>Revenue Growth — FY2027E</t>
  </si>
  <si>
    <t>11% — organic growth + Capco synergies</t>
  </si>
  <si>
    <t>Revenue Growth — FY2028E</t>
  </si>
  <si>
    <t>10% — growth moderation towards industry steady state</t>
  </si>
  <si>
    <t>Revenue Growth — FY2029E</t>
  </si>
  <si>
    <t>9% — normalised long-run growth</t>
  </si>
  <si>
    <t>EBIT Margin (FY25E–FY27E)</t>
  </si>
  <si>
    <t>15.5% — Wipro FY24 EBIT margin ~14.9%; slight expansion</t>
  </si>
  <si>
    <t>EBIT Margin (FY28E–FY29E)</t>
  </si>
  <si>
    <t>16.0% — gradual improvement; sector avg ~17%</t>
  </si>
  <si>
    <t>D&amp;A as % of Revenue</t>
  </si>
  <si>
    <t>4.2% — consistent with historical 4.0–4.4% range</t>
  </si>
  <si>
    <t>CapEx as % of Revenue</t>
  </si>
  <si>
    <t>3.1% — asset-light IT model; historical ~3.0–3.3%</t>
  </si>
  <si>
    <t>Change in NWC as % Rev</t>
  </si>
  <si>
    <t>−0.5% of revenue; negative = cash inflow</t>
  </si>
  <si>
    <t>Effective Tax Rate</t>
  </si>
  <si>
    <t>25.5% — India corp. tax rate for large companies (Section 115BAA excluded)</t>
  </si>
  <si>
    <t>Risk-Free Rate (Rf)</t>
  </si>
  <si>
    <t>7.2% — India 10-year G-Sec yield (Mar 2024)</t>
  </si>
  <si>
    <t>Equity Risk Premium (ERP)</t>
  </si>
  <si>
    <t>6.0% — Damodaran India ERP estimate</t>
  </si>
  <si>
    <t>Beta (β)</t>
  </si>
  <si>
    <t>0.85 — Wipro 5-yr monthly beta vs NIFTY 50 (Bloomberg)</t>
  </si>
  <si>
    <t>Cost of Equity (Ke)</t>
  </si>
  <si>
    <t>CAPM: Rf + β × ERP</t>
  </si>
  <si>
    <t>Pre-Tax Cost of Debt (Kd)</t>
  </si>
  <si>
    <t>8.5% — Wipro's marginal borrowing rate (NCD yield)</t>
  </si>
  <si>
    <t>Tax Rate</t>
  </si>
  <si>
    <t>Links to Tax Rate assumption above</t>
  </si>
  <si>
    <t>After-Tax Cost of Debt</t>
  </si>
  <si>
    <t>Kd × (1 − Tax Rate)</t>
  </si>
  <si>
    <t>Weight of Equity (We)</t>
  </si>
  <si>
    <t>92% — Wipro capital structure (near debt-free)</t>
  </si>
  <si>
    <t>Weight of Debt (Wd)</t>
  </si>
  <si>
    <t>1 − We</t>
  </si>
  <si>
    <t>WACC</t>
  </si>
  <si>
    <t>We×Ke + Wd×Kd(1-T)  ← KEY DISCOUNT RATE</t>
  </si>
  <si>
    <t>Terminal Growth Rate (g)</t>
  </si>
  <si>
    <t>4.5% — long-run nominal GDP growth rate for India IT sector</t>
  </si>
  <si>
    <t>Terminal Year FCFF</t>
  </si>
  <si>
    <t>→ linked from Forecasts sheet</t>
  </si>
  <si>
    <t>Auto-linked in DCF sheet</t>
  </si>
  <si>
    <t>Yellow cells = user inputs. Change these to run scenario analysis. Blue cells = formula-derived.</t>
  </si>
  <si>
    <t>WIPRO LIMITED — Financial Forecasts &amp; Free Cash Flow (FY2025E–FY2029E)</t>
  </si>
  <si>
    <t>All figures in INR Crores  |  Assumptions sourced from 'Assumptions' sheet</t>
  </si>
  <si>
    <t>FY2025E</t>
  </si>
  <si>
    <t>FY2026E</t>
  </si>
  <si>
    <t>FY2027E</t>
  </si>
  <si>
    <t>FY2028E</t>
  </si>
  <si>
    <t>FY2029E</t>
  </si>
  <si>
    <t>PROJECTED INCOME STATEMENT</t>
  </si>
  <si>
    <t>EBIT (for NOPAT)</t>
  </si>
  <si>
    <t>NOPAT (EBIT×(1−Tax))</t>
  </si>
  <si>
    <t>Add: Depreciation</t>
  </si>
  <si>
    <t>Less: Capital Expenditure</t>
  </si>
  <si>
    <t>Less: Change in NWC</t>
  </si>
  <si>
    <t>Free Cash Flow to Firm (FCFF)</t>
  </si>
  <si>
    <t>Note: FCFF = NOPAT + D&amp;A − CapEx − ΔNWC. Negative NWC change implies working capital improvement (cash inflow).</t>
  </si>
  <si>
    <t>WIPRO LIMITED — DCF Valuation Summary</t>
  </si>
  <si>
    <t>STEP 1 — DISCOUNTED FREE CASH FLOWS</t>
  </si>
  <si>
    <t>Discount Period (t)</t>
  </si>
  <si>
    <t>Discount Factor  [1/(1+WACC)^t]</t>
  </si>
  <si>
    <t>PV of FCFF</t>
  </si>
  <si>
    <t>STEP 2 — TERMINAL VALUE (Gordon Growth Model)</t>
  </si>
  <si>
    <t>Terminal Year FCFF (FY2029E)</t>
  </si>
  <si>
    <t>Terminal Value  [FCFF×(1+g)/(WACC−g)]</t>
  </si>
  <si>
    <t>PV of Terminal Value  [TV/(1+WACC)^5]</t>
  </si>
  <si>
    <t>STEP 3 — ENTERPRISE VALUE &amp; EQUITY VALUE</t>
  </si>
  <si>
    <t>Sum of PV of FCFFs</t>
  </si>
  <si>
    <t>PV of Terminal Value</t>
  </si>
  <si>
    <t>Enterprise Value (EV)</t>
  </si>
  <si>
    <t>Less: Total Debt</t>
  </si>
  <si>
    <t>Add: Cash &amp; Equivalents</t>
  </si>
  <si>
    <t>Equity Value</t>
  </si>
  <si>
    <t>Shares Outstanding (Crores)</t>
  </si>
  <si>
    <t>Intrinsic Value per Share (INR)</t>
  </si>
  <si>
    <t>Current Market Price (INR)</t>
  </si>
  <si>
    <t>Upside / (Downside) Potential (%)</t>
  </si>
  <si>
    <t>Valuation Verdict</t>
  </si>
  <si>
    <t>STEP 4 — SENSITIVITY ANALYSIS  (Intrinsic Share Price in INR)</t>
  </si>
  <si>
    <t>WACC →
(g ↓)</t>
  </si>
  <si>
    <t>Yellow = base case  |  Intrinsic prices above ₹480 (current market price) indicate upside. Sensitivity shows how share price changes with WACC and terminal growth rate assumptions.</t>
  </si>
  <si>
    <t>STEP 5 — INTERPRETATION &amp; INVESTMENT CONCLUSION</t>
  </si>
  <si>
    <t xml:space="preserve">  • Enterprise Value represents the total value of the business (debt + equity).</t>
  </si>
  <si>
    <t xml:space="preserve">  • Intrinsic value per share is derived by subtracting net debt and dividing by shares.</t>
  </si>
  <si>
    <t xml:space="preserve">  • If Intrinsic Value &gt; Market Price → Stock is UNDERVALUED → Potential BUY signal</t>
  </si>
  <si>
    <t xml:space="preserve">  • If Intrinsic Value &lt; Market Price → Stock is OVERVALUED → Potential SELL/HOLD signal</t>
  </si>
  <si>
    <t xml:space="preserve">  • Key model risk: DCF is highly sensitive to WACC and Terminal Growth Rate.</t>
  </si>
  <si>
    <t xml:space="preserve">  • Always cross-check with comparable multiples (EV/EBITDA, P/E) and management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</si>
</sst>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0\x"/>
    <numFmt numFmtId="167" formatCode="#,##0.00;\(#,##0.00\);\-"/>
    <numFmt numFmtId="168" formatCode="0.0000"/>
  </numFmts>
  <fonts count="2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666666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444444"/>
      <name val="Arial"/>
      <charset val="1"/>
    </font>
    <font>
      <i/>
      <sz val="9"/>
      <color rgb="FF888888"/>
      <name val="Arial"/>
      <charset val="1"/>
    </font>
    <font>
      <sz val="10"/>
      <color rgb="FF008000"/>
      <name val="Arial"/>
      <charset val="1"/>
    </font>
    <font>
      <b/>
      <sz val="10"/>
      <color rgb="FF000080"/>
      <name val="Arial"/>
      <charset val="1"/>
    </font>
    <font>
      <sz val="9"/>
      <color rgb="FF222222"/>
      <name val="Arial"/>
      <charset val="1"/>
    </font>
    <font>
      <sz val="11"/>
      <color theme="1"/>
      <name val="Times New Roman"/>
      <family val="1"/>
    </font>
    <font>
      <b/>
      <sz val="28"/>
      <color rgb="FFFFFF00"/>
      <name val="Times New Roman"/>
      <family val="1"/>
    </font>
    <font>
      <b/>
      <sz val="18"/>
      <color rgb="FFFFFFFF"/>
      <name val="Times New Roman"/>
      <family val="1"/>
    </font>
    <font>
      <sz val="12"/>
      <color rgb="FFD6E4F0"/>
      <name val="Times New Roman"/>
      <family val="1"/>
    </font>
    <font>
      <b/>
      <sz val="11"/>
      <color rgb="FFFFFF00"/>
      <name val="Times New Roman"/>
      <family val="1"/>
    </font>
    <font>
      <sz val="9"/>
      <color rgb="FFAAAAAA"/>
      <name val="Times New Roman"/>
      <family val="1"/>
    </font>
    <font>
      <b/>
      <sz val="12"/>
      <color rgb="FFFFFF00"/>
      <name val="Times New Roman"/>
      <family val="1"/>
    </font>
    <font>
      <b/>
      <sz val="10"/>
      <color rgb="FFFFFFFF"/>
      <name val="Times New Roman"/>
      <family val="1"/>
    </font>
    <font>
      <sz val="10"/>
      <color rgb="FFD6E4F0"/>
      <name val="Times New Roman"/>
      <family val="1"/>
    </font>
    <font>
      <b/>
      <sz val="13"/>
      <color rgb="FFFFFFFF"/>
      <name val="Times New Roman"/>
      <family val="1"/>
    </font>
    <font>
      <sz val="9"/>
      <color rgb="FF666666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8"/>
      <color rgb="FF888888"/>
      <name val="Times New Roman"/>
      <family val="1"/>
    </font>
    <font>
      <sz val="10"/>
      <color rgb="FF0000FF"/>
      <name val="Times New Roman"/>
      <family val="1"/>
    </font>
    <font>
      <i/>
      <sz val="9"/>
      <color rgb="FF444444"/>
      <name val="Times New Roman"/>
      <family val="1"/>
    </font>
    <font>
      <sz val="9"/>
      <color rgb="FF44444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1" fillId="5" borderId="2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8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7" fontId="6" fillId="4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167" fontId="4" fillId="8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right" vertical="center"/>
    </xf>
    <xf numFmtId="167" fontId="0" fillId="5" borderId="1" xfId="0" applyNumberForma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left" vertical="center"/>
    </xf>
    <xf numFmtId="0" fontId="12" fillId="2" borderId="0" xfId="0" applyFont="1" applyFill="1"/>
    <xf numFmtId="0" fontId="12" fillId="0" borderId="0" xfId="0" applyFont="1"/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/>
    </xf>
    <xf numFmtId="0" fontId="12" fillId="3" borderId="1" xfId="0" applyFont="1" applyFill="1" applyBorder="1"/>
    <xf numFmtId="0" fontId="23" fillId="4" borderId="1" xfId="0" applyFont="1" applyFill="1" applyBorder="1" applyAlignment="1">
      <alignment horizontal="left" vertical="center"/>
    </xf>
    <xf numFmtId="164" fontId="23" fillId="4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left" vertical="center"/>
    </xf>
    <xf numFmtId="165" fontId="24" fillId="5" borderId="1" xfId="0" applyNumberFormat="1" applyFont="1" applyFill="1" applyBorder="1" applyAlignment="1">
      <alignment horizontal="right" vertical="center"/>
    </xf>
    <xf numFmtId="164" fontId="24" fillId="5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left" vertical="center"/>
    </xf>
    <xf numFmtId="164" fontId="24" fillId="4" borderId="1" xfId="0" applyNumberFormat="1" applyFont="1" applyFill="1" applyBorder="1" applyAlignment="1">
      <alignment horizontal="right" vertical="center"/>
    </xf>
    <xf numFmtId="0" fontId="23" fillId="6" borderId="1" xfId="0" applyFont="1" applyFill="1" applyBorder="1" applyAlignment="1">
      <alignment horizontal="left" vertical="center"/>
    </xf>
    <xf numFmtId="164" fontId="23" fillId="6" borderId="1" xfId="0" applyNumberFormat="1" applyFont="1" applyFill="1" applyBorder="1" applyAlignment="1">
      <alignment horizontal="right" vertical="center"/>
    </xf>
    <xf numFmtId="0" fontId="23" fillId="7" borderId="1" xfId="0" applyFont="1" applyFill="1" applyBorder="1" applyAlignment="1">
      <alignment horizontal="left" vertical="center"/>
    </xf>
    <xf numFmtId="164" fontId="23" fillId="7" borderId="1" xfId="0" applyNumberFormat="1" applyFont="1" applyFill="1" applyBorder="1" applyAlignment="1">
      <alignment horizontal="right" vertical="center"/>
    </xf>
    <xf numFmtId="165" fontId="24" fillId="4" borderId="1" xfId="0" applyNumberFormat="1" applyFont="1" applyFill="1" applyBorder="1" applyAlignment="1">
      <alignment horizontal="right" vertical="center"/>
    </xf>
    <xf numFmtId="166" fontId="24" fillId="4" borderId="1" xfId="0" applyNumberFormat="1" applyFont="1" applyFill="1" applyBorder="1" applyAlignment="1">
      <alignment horizontal="right" vertical="center"/>
    </xf>
    <xf numFmtId="167" fontId="24" fillId="5" borderId="1" xfId="0" applyNumberFormat="1" applyFont="1" applyFill="1" applyBorder="1" applyAlignment="1">
      <alignment horizontal="right" vertical="center"/>
    </xf>
    <xf numFmtId="0" fontId="25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left" vertical="center"/>
    </xf>
    <xf numFmtId="165" fontId="26" fillId="8" borderId="1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center"/>
    </xf>
    <xf numFmtId="2" fontId="26" fillId="8" borderId="1" xfId="0" applyNumberFormat="1" applyFont="1" applyFill="1" applyBorder="1" applyAlignment="1">
      <alignment horizontal="center" vertical="center" wrapText="1"/>
    </xf>
    <xf numFmtId="165" fontId="24" fillId="5" borderId="1" xfId="0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7" fillId="0" borderId="0" xfId="0" applyFont="1"/>
    <xf numFmtId="0" fontId="28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444444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showGridLines="0" zoomScaleNormal="100" workbookViewId="0">
      <selection activeCell="E11" sqref="E11"/>
    </sheetView>
  </sheetViews>
  <sheetFormatPr defaultColWidth="8.6328125" defaultRowHeight="14" x14ac:dyDescent="0.3"/>
  <cols>
    <col min="1" max="1" width="4" style="36" customWidth="1"/>
    <col min="2" max="10" width="13" style="36" customWidth="1"/>
    <col min="11" max="11" width="4" style="36" customWidth="1"/>
    <col min="12" max="16384" width="8.6328125" style="36"/>
  </cols>
  <sheetData>
    <row r="1" spans="1:11" ht="15" customHeight="1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1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15" customHeight="1" x14ac:dyDescent="0.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5" customHeight="1" x14ac:dyDescent="0.3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33.75" customHeight="1" x14ac:dyDescent="0.3">
      <c r="A5" s="35"/>
      <c r="B5" s="37" t="s">
        <v>0</v>
      </c>
      <c r="C5" s="37"/>
      <c r="D5" s="37"/>
      <c r="E5" s="37"/>
      <c r="F5" s="37"/>
      <c r="G5" s="37"/>
      <c r="H5" s="37"/>
      <c r="I5" s="37"/>
      <c r="J5" s="37"/>
      <c r="K5" s="35"/>
    </row>
    <row r="6" spans="1:11" ht="15" customHeight="1" x14ac:dyDescent="0.3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ht="21.75" customHeight="1" x14ac:dyDescent="0.3">
      <c r="A7" s="35"/>
      <c r="B7" s="38" t="s">
        <v>1</v>
      </c>
      <c r="C7" s="38"/>
      <c r="D7" s="38"/>
      <c r="E7" s="38"/>
      <c r="F7" s="38"/>
      <c r="G7" s="38"/>
      <c r="H7" s="38"/>
      <c r="I7" s="38"/>
      <c r="J7" s="38"/>
      <c r="K7" s="35"/>
    </row>
    <row r="8" spans="1:11" ht="15" customHeight="1" x14ac:dyDescent="0.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5" customHeight="1" x14ac:dyDescent="0.3">
      <c r="A9" s="35"/>
      <c r="B9" s="39"/>
      <c r="C9" s="39"/>
      <c r="D9" s="39"/>
      <c r="E9" s="39"/>
      <c r="F9" s="39"/>
      <c r="G9" s="39"/>
      <c r="H9" s="39"/>
      <c r="I9" s="39"/>
      <c r="J9" s="39"/>
      <c r="K9" s="35"/>
    </row>
    <row r="10" spans="1:11" ht="1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ht="15" customHeigh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spans="1:11" ht="15" customHeight="1" x14ac:dyDescent="0.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1" ht="15" customHeight="1" x14ac:dyDescent="0.3">
      <c r="A13" s="35"/>
      <c r="B13" s="40" t="s">
        <v>2</v>
      </c>
      <c r="C13" s="40"/>
      <c r="D13" s="40"/>
      <c r="E13" s="40"/>
      <c r="F13" s="40"/>
      <c r="G13" s="40"/>
      <c r="H13" s="40"/>
      <c r="I13" s="40"/>
      <c r="J13" s="40"/>
      <c r="K13" s="35"/>
    </row>
    <row r="14" spans="1:11" ht="15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</row>
    <row r="15" spans="1:11" ht="15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</row>
    <row r="16" spans="1:11" ht="15" customHeight="1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</row>
    <row r="17" spans="1:11" ht="15" customHeigh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</row>
    <row r="18" spans="1:11" ht="15" customHeigh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spans="1:11" ht="15" customHeigh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spans="1:11" ht="15" customHeight="1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</row>
    <row r="21" spans="1:11" ht="15" customHeight="1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 ht="15" customHeight="1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spans="1:11" ht="15" customHeight="1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spans="1:11" ht="15" customHeigh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</row>
    <row r="25" spans="1:11" ht="15" customHeight="1" x14ac:dyDescent="0.3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</row>
    <row r="26" spans="1:11" ht="15" customHeight="1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</row>
    <row r="27" spans="1:11" ht="15" customHeight="1" x14ac:dyDescent="0.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</row>
    <row r="28" spans="1:11" ht="15" customHeight="1" x14ac:dyDescent="0.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</row>
    <row r="29" spans="1:11" ht="15" customHeight="1" x14ac:dyDescent="0.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</row>
    <row r="30" spans="1:11" ht="15" customHeight="1" x14ac:dyDescent="0.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1" ht="15" customHeight="1" x14ac:dyDescent="0.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1" ht="15" customHeight="1" x14ac:dyDescent="0.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</row>
    <row r="33" spans="1:11" ht="15" customHeight="1" x14ac:dyDescent="0.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</row>
    <row r="34" spans="1:11" ht="15" customHeight="1" x14ac:dyDescent="0.3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</row>
    <row r="35" spans="1:11" ht="15" customHeight="1" x14ac:dyDescent="0.3">
      <c r="A35" s="35"/>
      <c r="B35" s="41" t="s">
        <v>3</v>
      </c>
      <c r="C35" s="41"/>
      <c r="D35" s="41"/>
      <c r="E35" s="41"/>
      <c r="F35" s="41"/>
      <c r="G35" s="41"/>
      <c r="H35" s="41"/>
      <c r="I35" s="41"/>
      <c r="J35" s="41"/>
      <c r="K35" s="35"/>
    </row>
    <row r="36" spans="1:11" ht="15" customHeight="1" x14ac:dyDescent="0.3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</row>
    <row r="37" spans="1:11" ht="15" customHeight="1" x14ac:dyDescent="0.3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</row>
    <row r="38" spans="1:11" ht="15" customHeight="1" x14ac:dyDescent="0.3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spans="1:11" ht="15" customHeight="1" x14ac:dyDescent="0.3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</row>
    <row r="41" spans="1:11" ht="15" customHeight="1" x14ac:dyDescent="0.3">
      <c r="B41" s="42" t="s">
        <v>4</v>
      </c>
      <c r="C41" s="43" t="s">
        <v>5</v>
      </c>
      <c r="D41" s="43"/>
      <c r="E41" s="44" t="s">
        <v>6</v>
      </c>
      <c r="F41" s="44"/>
      <c r="G41" s="44"/>
      <c r="H41" s="44"/>
      <c r="I41" s="44"/>
      <c r="J41" s="44"/>
    </row>
    <row r="43" spans="1:11" ht="15" customHeight="1" x14ac:dyDescent="0.3">
      <c r="B43" s="42" t="s">
        <v>7</v>
      </c>
      <c r="C43" s="43" t="s">
        <v>8</v>
      </c>
      <c r="D43" s="43"/>
      <c r="E43" s="44" t="s">
        <v>9</v>
      </c>
      <c r="F43" s="44"/>
      <c r="G43" s="44"/>
      <c r="H43" s="44"/>
      <c r="I43" s="44"/>
      <c r="J43" s="44"/>
    </row>
    <row r="45" spans="1:11" ht="15" customHeight="1" x14ac:dyDescent="0.3">
      <c r="B45" s="42" t="s">
        <v>10</v>
      </c>
      <c r="C45" s="43" t="s">
        <v>11</v>
      </c>
      <c r="D45" s="43"/>
      <c r="E45" s="44" t="s">
        <v>12</v>
      </c>
      <c r="F45" s="44"/>
      <c r="G45" s="44"/>
      <c r="H45" s="44"/>
      <c r="I45" s="44"/>
      <c r="J45" s="44"/>
    </row>
    <row r="47" spans="1:11" ht="15" customHeight="1" x14ac:dyDescent="0.3">
      <c r="B47" s="42" t="s">
        <v>13</v>
      </c>
      <c r="C47" s="43" t="s">
        <v>14</v>
      </c>
      <c r="D47" s="43"/>
      <c r="E47" s="44" t="s">
        <v>15</v>
      </c>
      <c r="F47" s="44"/>
      <c r="G47" s="44"/>
      <c r="H47" s="44"/>
      <c r="I47" s="44"/>
      <c r="J47" s="44"/>
    </row>
  </sheetData>
  <mergeCells count="13">
    <mergeCell ref="C47:D47"/>
    <mergeCell ref="E47:J47"/>
    <mergeCell ref="C41:D41"/>
    <mergeCell ref="E41:J41"/>
    <mergeCell ref="C43:D43"/>
    <mergeCell ref="E43:J43"/>
    <mergeCell ref="C45:D45"/>
    <mergeCell ref="E45:J45"/>
    <mergeCell ref="B5:J5"/>
    <mergeCell ref="B7:J7"/>
    <mergeCell ref="B9:J9"/>
    <mergeCell ref="B13:J13"/>
    <mergeCell ref="B35:J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9"/>
  <sheetViews>
    <sheetView showGridLines="0" zoomScaleNormal="100" workbookViewId="0">
      <pane xSplit="2" ySplit="4" topLeftCell="C31" activePane="bottomRight" state="frozen"/>
      <selection pane="topRight" activeCell="C1" sqref="C1"/>
      <selection pane="bottomLeft" activeCell="A5" sqref="A5"/>
      <selection pane="bottomRight" activeCell="D43" sqref="A1:XFD1048576"/>
    </sheetView>
  </sheetViews>
  <sheetFormatPr defaultColWidth="8.6328125" defaultRowHeight="14" x14ac:dyDescent="0.3"/>
  <cols>
    <col min="1" max="1" width="2" style="36" customWidth="1"/>
    <col min="2" max="2" width="38" style="36" customWidth="1"/>
    <col min="3" max="8" width="14" style="36" customWidth="1"/>
    <col min="9" max="16384" width="8.6328125" style="36"/>
  </cols>
  <sheetData>
    <row r="1" spans="2:8" ht="27.75" customHeight="1" x14ac:dyDescent="0.3">
      <c r="B1" s="45" t="s">
        <v>16</v>
      </c>
      <c r="C1" s="45"/>
      <c r="D1" s="45"/>
      <c r="E1" s="45"/>
      <c r="F1" s="45"/>
      <c r="G1" s="45"/>
      <c r="H1" s="45"/>
    </row>
    <row r="2" spans="2:8" ht="18" customHeight="1" x14ac:dyDescent="0.3">
      <c r="B2" s="46" t="s">
        <v>17</v>
      </c>
      <c r="C2" s="46"/>
      <c r="D2" s="46"/>
      <c r="E2" s="46"/>
      <c r="F2" s="46"/>
      <c r="G2" s="46"/>
      <c r="H2" s="46"/>
    </row>
    <row r="3" spans="2:8" ht="18" customHeight="1" x14ac:dyDescent="0.3"/>
    <row r="4" spans="2:8" ht="21.75" customHeight="1" x14ac:dyDescent="0.3">
      <c r="B4" s="47" t="s">
        <v>18</v>
      </c>
      <c r="C4" s="47" t="s">
        <v>19</v>
      </c>
      <c r="D4" s="47" t="s">
        <v>20</v>
      </c>
      <c r="E4" s="47" t="s">
        <v>21</v>
      </c>
      <c r="F4" s="47" t="s">
        <v>22</v>
      </c>
      <c r="G4" s="47" t="s">
        <v>23</v>
      </c>
    </row>
    <row r="5" spans="2:8" ht="18" customHeight="1" x14ac:dyDescent="0.3">
      <c r="B5" s="48" t="s">
        <v>24</v>
      </c>
      <c r="C5" s="49"/>
      <c r="D5" s="49"/>
      <c r="E5" s="49"/>
      <c r="F5" s="49"/>
      <c r="G5" s="49"/>
      <c r="H5" s="49"/>
    </row>
    <row r="6" spans="2:8" ht="18" customHeight="1" x14ac:dyDescent="0.3">
      <c r="B6" s="50" t="s">
        <v>25</v>
      </c>
      <c r="C6" s="51">
        <v>61943</v>
      </c>
      <c r="D6" s="51">
        <v>62965</v>
      </c>
      <c r="E6" s="51">
        <v>79312</v>
      </c>
      <c r="F6" s="51">
        <v>90488</v>
      </c>
      <c r="G6" s="51">
        <v>97285</v>
      </c>
    </row>
    <row r="7" spans="2:8" ht="18" customHeight="1" x14ac:dyDescent="0.3">
      <c r="B7" s="52" t="s">
        <v>26</v>
      </c>
      <c r="C7" s="53" t="s">
        <v>27</v>
      </c>
      <c r="D7" s="53">
        <f>(D6-C6)/C6</f>
        <v>1.6499039439484688E-2</v>
      </c>
      <c r="E7" s="53">
        <f>(E6-D6)/D6</f>
        <v>0.25962042404510444</v>
      </c>
      <c r="F7" s="53">
        <f>(F6-E6)/E6</f>
        <v>0.14091184183982247</v>
      </c>
      <c r="G7" s="53">
        <f>(G6-F6)/F6</f>
        <v>7.5114932366722661E-2</v>
      </c>
    </row>
    <row r="8" spans="2:8" ht="18" customHeight="1" x14ac:dyDescent="0.3">
      <c r="B8" s="52" t="s">
        <v>28</v>
      </c>
      <c r="C8" s="54">
        <v>42351</v>
      </c>
      <c r="D8" s="54">
        <v>43038</v>
      </c>
      <c r="E8" s="54">
        <v>54437</v>
      </c>
      <c r="F8" s="54">
        <v>62571</v>
      </c>
      <c r="G8" s="54">
        <v>67450</v>
      </c>
    </row>
    <row r="9" spans="2:8" ht="18" customHeight="1" x14ac:dyDescent="0.3">
      <c r="B9" s="55" t="s">
        <v>29</v>
      </c>
      <c r="C9" s="56">
        <f>C6-C8</f>
        <v>19592</v>
      </c>
      <c r="D9" s="56">
        <f>D6-D8</f>
        <v>19927</v>
      </c>
      <c r="E9" s="56">
        <f>E6-E8</f>
        <v>24875</v>
      </c>
      <c r="F9" s="56">
        <f>F6-F8</f>
        <v>27917</v>
      </c>
      <c r="G9" s="56">
        <f>G6-G8</f>
        <v>29835</v>
      </c>
    </row>
    <row r="10" spans="2:8" ht="18" customHeight="1" x14ac:dyDescent="0.3">
      <c r="B10" s="52" t="s">
        <v>30</v>
      </c>
      <c r="C10" s="53">
        <f>C9/C6</f>
        <v>0.31629078346221529</v>
      </c>
      <c r="D10" s="53">
        <f>D9/D6</f>
        <v>0.3164774080838561</v>
      </c>
      <c r="E10" s="53">
        <f>E9/E6</f>
        <v>0.31363475892677023</v>
      </c>
      <c r="F10" s="53">
        <f>F9/F6</f>
        <v>0.30851604632658475</v>
      </c>
      <c r="G10" s="53">
        <f>G9/G6</f>
        <v>0.30667626047180963</v>
      </c>
    </row>
    <row r="11" spans="2:8" ht="18" customHeight="1" x14ac:dyDescent="0.3">
      <c r="B11" s="52" t="s">
        <v>31</v>
      </c>
      <c r="C11" s="54">
        <v>8932</v>
      </c>
      <c r="D11" s="54">
        <v>8756</v>
      </c>
      <c r="E11" s="54">
        <v>10211</v>
      </c>
      <c r="F11" s="54">
        <v>11489</v>
      </c>
      <c r="G11" s="54">
        <v>12108</v>
      </c>
    </row>
    <row r="12" spans="2:8" ht="18" customHeight="1" x14ac:dyDescent="0.3">
      <c r="B12" s="50" t="s">
        <v>32</v>
      </c>
      <c r="C12" s="51">
        <f>C9-C11</f>
        <v>10660</v>
      </c>
      <c r="D12" s="51">
        <f>D9-D11</f>
        <v>11171</v>
      </c>
      <c r="E12" s="51">
        <f>E9-E11</f>
        <v>14664</v>
      </c>
      <c r="F12" s="51">
        <f>F9-F11</f>
        <v>16428</v>
      </c>
      <c r="G12" s="51">
        <f>G9-G11</f>
        <v>17727</v>
      </c>
    </row>
    <row r="13" spans="2:8" ht="18" customHeight="1" x14ac:dyDescent="0.3">
      <c r="B13" s="52" t="s">
        <v>33</v>
      </c>
      <c r="C13" s="53">
        <f>C12/C6</f>
        <v>0.17209369904589703</v>
      </c>
      <c r="D13" s="53">
        <f>D12/D6</f>
        <v>0.17741602477566903</v>
      </c>
      <c r="E13" s="53">
        <f>E12/E6</f>
        <v>0.18489005446842849</v>
      </c>
      <c r="F13" s="53">
        <f>F12/F6</f>
        <v>0.18154893466537</v>
      </c>
      <c r="G13" s="53">
        <f>G12/G6</f>
        <v>0.18221719689571877</v>
      </c>
    </row>
    <row r="14" spans="2:8" ht="18" customHeight="1" x14ac:dyDescent="0.3">
      <c r="B14" s="52" t="s">
        <v>34</v>
      </c>
      <c r="C14" s="54">
        <v>2891</v>
      </c>
      <c r="D14" s="54">
        <v>3124</v>
      </c>
      <c r="E14" s="54">
        <v>3456</v>
      </c>
      <c r="F14" s="54">
        <v>3789</v>
      </c>
      <c r="G14" s="54">
        <v>4021</v>
      </c>
    </row>
    <row r="15" spans="2:8" ht="18" customHeight="1" x14ac:dyDescent="0.3">
      <c r="B15" s="50" t="s">
        <v>35</v>
      </c>
      <c r="C15" s="51">
        <f>C12-C14</f>
        <v>7769</v>
      </c>
      <c r="D15" s="51">
        <f>D12-D14</f>
        <v>8047</v>
      </c>
      <c r="E15" s="51">
        <f>E12-E14</f>
        <v>11208</v>
      </c>
      <c r="F15" s="51">
        <f>F12-F14</f>
        <v>12639</v>
      </c>
      <c r="G15" s="51">
        <f>G12-G14</f>
        <v>13706</v>
      </c>
    </row>
    <row r="16" spans="2:8" ht="18" customHeight="1" x14ac:dyDescent="0.3">
      <c r="B16" s="52" t="s">
        <v>36</v>
      </c>
      <c r="C16" s="53">
        <f>C15/C6</f>
        <v>0.1254217587136561</v>
      </c>
      <c r="D16" s="53">
        <f>D15/D6</f>
        <v>0.12780115937425554</v>
      </c>
      <c r="E16" s="53">
        <f>E15/E6</f>
        <v>0.14131531168045189</v>
      </c>
      <c r="F16" s="53">
        <f>F15/F6</f>
        <v>0.13967597913535496</v>
      </c>
      <c r="G16" s="53">
        <f>G15/G6</f>
        <v>0.14088502852443852</v>
      </c>
    </row>
    <row r="17" spans="2:8" ht="18" customHeight="1" x14ac:dyDescent="0.3">
      <c r="B17" s="52" t="s">
        <v>37</v>
      </c>
      <c r="C17" s="54">
        <v>312</v>
      </c>
      <c r="D17" s="54">
        <v>298</v>
      </c>
      <c r="E17" s="54">
        <v>425</v>
      </c>
      <c r="F17" s="54">
        <v>534</v>
      </c>
      <c r="G17" s="54">
        <v>498</v>
      </c>
    </row>
    <row r="18" spans="2:8" ht="18" customHeight="1" x14ac:dyDescent="0.3">
      <c r="B18" s="55" t="s">
        <v>38</v>
      </c>
      <c r="C18" s="56">
        <f>C15-C17</f>
        <v>7457</v>
      </c>
      <c r="D18" s="56">
        <f>D15-D17</f>
        <v>7749</v>
      </c>
      <c r="E18" s="56">
        <f>E15-E17</f>
        <v>10783</v>
      </c>
      <c r="F18" s="56">
        <f>F15-F17</f>
        <v>12105</v>
      </c>
      <c r="G18" s="56">
        <f>G15-G17</f>
        <v>13208</v>
      </c>
    </row>
    <row r="19" spans="2:8" ht="18" customHeight="1" x14ac:dyDescent="0.3">
      <c r="B19" s="52" t="s">
        <v>39</v>
      </c>
      <c r="C19" s="54">
        <v>2245</v>
      </c>
      <c r="D19" s="54">
        <v>2398</v>
      </c>
      <c r="E19" s="54">
        <v>3012</v>
      </c>
      <c r="F19" s="54">
        <v>3456</v>
      </c>
      <c r="G19" s="54">
        <v>3892</v>
      </c>
    </row>
    <row r="20" spans="2:8" ht="18" customHeight="1" x14ac:dyDescent="0.3">
      <c r="B20" s="57" t="s">
        <v>40</v>
      </c>
      <c r="C20" s="58">
        <f>C18-C19</f>
        <v>5212</v>
      </c>
      <c r="D20" s="58">
        <f>D18-D19</f>
        <v>5351</v>
      </c>
      <c r="E20" s="58">
        <f>E18-E19</f>
        <v>7771</v>
      </c>
      <c r="F20" s="58">
        <f>F18-F19</f>
        <v>8649</v>
      </c>
      <c r="G20" s="58">
        <f>G18-G19</f>
        <v>9316</v>
      </c>
    </row>
    <row r="21" spans="2:8" ht="18" customHeight="1" x14ac:dyDescent="0.3">
      <c r="B21" s="52" t="s">
        <v>41</v>
      </c>
      <c r="C21" s="53">
        <f>C20/C6</f>
        <v>8.4141872366530521E-2</v>
      </c>
      <c r="D21" s="53">
        <f>D20/D6</f>
        <v>8.4983721114905111E-2</v>
      </c>
      <c r="E21" s="53">
        <f>E20/E6</f>
        <v>9.7980129110349007E-2</v>
      </c>
      <c r="F21" s="53">
        <f>F20/F6</f>
        <v>9.5581734594642379E-2</v>
      </c>
      <c r="G21" s="53">
        <f>G20/G6</f>
        <v>9.5759880762707514E-2</v>
      </c>
    </row>
    <row r="22" spans="2:8" ht="18" customHeight="1" x14ac:dyDescent="0.3"/>
    <row r="23" spans="2:8" ht="18" customHeight="1" x14ac:dyDescent="0.3">
      <c r="B23" s="48" t="s">
        <v>42</v>
      </c>
      <c r="C23" s="49"/>
      <c r="D23" s="49"/>
      <c r="E23" s="49"/>
      <c r="F23" s="49"/>
      <c r="G23" s="49"/>
      <c r="H23" s="49"/>
    </row>
    <row r="24" spans="2:8" ht="18" customHeight="1" x14ac:dyDescent="0.3">
      <c r="B24" s="55" t="s">
        <v>43</v>
      </c>
      <c r="C24" s="56">
        <v>9456</v>
      </c>
      <c r="D24" s="56">
        <v>10234</v>
      </c>
      <c r="E24" s="56">
        <v>13456</v>
      </c>
      <c r="F24" s="56">
        <v>14892</v>
      </c>
      <c r="G24" s="56">
        <v>16234</v>
      </c>
    </row>
    <row r="25" spans="2:8" ht="18" customHeight="1" x14ac:dyDescent="0.3">
      <c r="B25" s="52" t="s">
        <v>44</v>
      </c>
      <c r="C25" s="54">
        <v>2134</v>
      </c>
      <c r="D25" s="54">
        <v>1987</v>
      </c>
      <c r="E25" s="54">
        <v>2456</v>
      </c>
      <c r="F25" s="54">
        <v>2789</v>
      </c>
      <c r="G25" s="54">
        <v>3012</v>
      </c>
    </row>
    <row r="26" spans="2:8" ht="18" customHeight="1" x14ac:dyDescent="0.3">
      <c r="B26" s="57" t="s">
        <v>45</v>
      </c>
      <c r="C26" s="58">
        <f>C24-C25</f>
        <v>7322</v>
      </c>
      <c r="D26" s="58">
        <f>D24-D25</f>
        <v>8247</v>
      </c>
      <c r="E26" s="58">
        <f>E24-E25</f>
        <v>11000</v>
      </c>
      <c r="F26" s="58">
        <f>F24-F25</f>
        <v>12103</v>
      </c>
      <c r="G26" s="58">
        <f>G24-G25</f>
        <v>13222</v>
      </c>
    </row>
    <row r="27" spans="2:8" ht="18" customHeight="1" x14ac:dyDescent="0.3">
      <c r="B27" s="52" t="s">
        <v>46</v>
      </c>
      <c r="C27" s="53">
        <f>C26/C6</f>
        <v>0.11820544694315742</v>
      </c>
      <c r="D27" s="53">
        <f>D26/D6</f>
        <v>0.13097752719764949</v>
      </c>
      <c r="E27" s="53">
        <f>E26/E6</f>
        <v>0.13869275771636069</v>
      </c>
      <c r="F27" s="53">
        <f>F26/F6</f>
        <v>0.13375254177349483</v>
      </c>
      <c r="G27" s="53">
        <f>G26/G6</f>
        <v>0.13590995528601532</v>
      </c>
    </row>
    <row r="28" spans="2:8" ht="18" customHeight="1" x14ac:dyDescent="0.3">
      <c r="B28" s="55" t="s">
        <v>47</v>
      </c>
      <c r="C28" s="56">
        <v>3456</v>
      </c>
      <c r="D28" s="56">
        <v>3012</v>
      </c>
      <c r="E28" s="56">
        <v>4234</v>
      </c>
      <c r="F28" s="56">
        <v>4891</v>
      </c>
      <c r="G28" s="56">
        <v>4234</v>
      </c>
    </row>
    <row r="29" spans="2:8" ht="18" customHeight="1" x14ac:dyDescent="0.3">
      <c r="B29" s="55" t="s">
        <v>48</v>
      </c>
      <c r="C29" s="56">
        <v>12456</v>
      </c>
      <c r="D29" s="56">
        <v>15234</v>
      </c>
      <c r="E29" s="56">
        <v>18912</v>
      </c>
      <c r="F29" s="56">
        <v>22345</v>
      </c>
      <c r="G29" s="56">
        <v>28456</v>
      </c>
    </row>
    <row r="30" spans="2:8" ht="18" customHeight="1" x14ac:dyDescent="0.3">
      <c r="B30" s="59" t="s">
        <v>49</v>
      </c>
      <c r="C30" s="60">
        <f>C28-C29</f>
        <v>-9000</v>
      </c>
      <c r="D30" s="60">
        <f>D28-D29</f>
        <v>-12222</v>
      </c>
      <c r="E30" s="60">
        <f>E28-E29</f>
        <v>-14678</v>
      </c>
      <c r="F30" s="60">
        <f>F28-F29</f>
        <v>-17454</v>
      </c>
      <c r="G30" s="60">
        <f>G28-G29</f>
        <v>-24222</v>
      </c>
    </row>
    <row r="31" spans="2:8" ht="18" customHeight="1" x14ac:dyDescent="0.3">
      <c r="B31" s="52" t="s">
        <v>50</v>
      </c>
      <c r="C31" s="54">
        <v>42345</v>
      </c>
      <c r="D31" s="54">
        <v>47891</v>
      </c>
      <c r="E31" s="54">
        <v>54234</v>
      </c>
      <c r="F31" s="54">
        <v>61789</v>
      </c>
      <c r="G31" s="54">
        <v>68456</v>
      </c>
    </row>
    <row r="32" spans="2:8" ht="18" customHeight="1" x14ac:dyDescent="0.3"/>
    <row r="33" spans="2:8" ht="18" customHeight="1" x14ac:dyDescent="0.3">
      <c r="B33" s="48" t="s">
        <v>51</v>
      </c>
      <c r="C33" s="49"/>
      <c r="D33" s="49"/>
      <c r="E33" s="49"/>
      <c r="F33" s="49"/>
      <c r="G33" s="49"/>
      <c r="H33" s="49"/>
    </row>
    <row r="34" spans="2:8" ht="18" customHeight="1" x14ac:dyDescent="0.3">
      <c r="B34" s="55" t="s">
        <v>52</v>
      </c>
      <c r="C34" s="61">
        <f>C20/C31</f>
        <v>0.12308418939662298</v>
      </c>
      <c r="D34" s="61">
        <f>D20/D31</f>
        <v>0.11173289344553257</v>
      </c>
      <c r="E34" s="61">
        <f>E20/E31</f>
        <v>0.14328649924401668</v>
      </c>
      <c r="F34" s="61">
        <f>F20/F31</f>
        <v>0.13997637119875705</v>
      </c>
      <c r="G34" s="61">
        <f>G20/G31</f>
        <v>0.13608741381325232</v>
      </c>
    </row>
    <row r="35" spans="2:8" ht="18" customHeight="1" x14ac:dyDescent="0.3">
      <c r="B35" s="52" t="s">
        <v>53</v>
      </c>
      <c r="C35" s="53">
        <f>C15/(C28+C31)</f>
        <v>0.16962511735551625</v>
      </c>
      <c r="D35" s="53">
        <f>D15/(D28+D31)</f>
        <v>0.15808498516786829</v>
      </c>
      <c r="E35" s="53">
        <f>E15/(E28+E31)</f>
        <v>0.19169460217554901</v>
      </c>
      <c r="F35" s="53">
        <f>F15/(F28+F31)</f>
        <v>0.18954709058188363</v>
      </c>
      <c r="G35" s="53">
        <f>G15/(G28+G31)</f>
        <v>0.18855413399367177</v>
      </c>
    </row>
    <row r="36" spans="2:8" ht="18" customHeight="1" x14ac:dyDescent="0.3">
      <c r="B36" s="55" t="s">
        <v>54</v>
      </c>
      <c r="C36" s="62">
        <f>C28/C31</f>
        <v>8.1615302869287989E-2</v>
      </c>
      <c r="D36" s="62">
        <f>D28/D31</f>
        <v>6.2892819110062434E-2</v>
      </c>
      <c r="E36" s="62">
        <f>E28/E31</f>
        <v>7.8069107939668841E-2</v>
      </c>
      <c r="F36" s="62">
        <f>F28/F31</f>
        <v>7.9156484163847934E-2</v>
      </c>
      <c r="G36" s="62">
        <f>G28/G31</f>
        <v>6.1849947411475988E-2</v>
      </c>
    </row>
    <row r="37" spans="2:8" ht="18" customHeight="1" x14ac:dyDescent="0.3">
      <c r="B37" s="52" t="s">
        <v>55</v>
      </c>
      <c r="C37" s="63">
        <f>C6/212535</f>
        <v>0.29144846731126639</v>
      </c>
      <c r="D37" s="63">
        <f>D6/197452</f>
        <v>0.31888762838563295</v>
      </c>
      <c r="E37" s="63">
        <f>E6/240899</f>
        <v>0.32923341317315558</v>
      </c>
      <c r="F37" s="63">
        <f>F6/258865</f>
        <v>0.34955671875301797</v>
      </c>
      <c r="G37" s="63">
        <f>G6/234054</f>
        <v>0.41565194356857821</v>
      </c>
    </row>
    <row r="38" spans="2:8" ht="18" customHeight="1" x14ac:dyDescent="0.3"/>
    <row r="39" spans="2:8" ht="18" customHeight="1" x14ac:dyDescent="0.3">
      <c r="B39" s="64" t="s">
        <v>56</v>
      </c>
      <c r="C39" s="64"/>
      <c r="D39" s="64"/>
      <c r="E39" s="64"/>
      <c r="F39" s="64"/>
      <c r="G39" s="64"/>
      <c r="H39" s="64"/>
    </row>
  </sheetData>
  <mergeCells count="3">
    <mergeCell ref="B1:H1"/>
    <mergeCell ref="B2:H2"/>
    <mergeCell ref="B39:H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37" sqref="D37"/>
    </sheetView>
  </sheetViews>
  <sheetFormatPr defaultColWidth="8.6328125" defaultRowHeight="14" x14ac:dyDescent="0.3"/>
  <cols>
    <col min="1" max="1" width="2" style="36" customWidth="1"/>
    <col min="2" max="2" width="38" style="36" customWidth="1"/>
    <col min="3" max="3" width="18" style="36" customWidth="1"/>
    <col min="4" max="4" width="40" style="36" customWidth="1"/>
    <col min="5" max="16384" width="8.6328125" style="36"/>
  </cols>
  <sheetData>
    <row r="1" spans="2:4" ht="27.75" customHeight="1" x14ac:dyDescent="0.3">
      <c r="B1" s="45" t="s">
        <v>57</v>
      </c>
      <c r="C1" s="45"/>
      <c r="D1" s="45"/>
    </row>
    <row r="2" spans="2:4" ht="18" customHeight="1" x14ac:dyDescent="0.3"/>
    <row r="3" spans="2:4" ht="18" customHeight="1" x14ac:dyDescent="0.3">
      <c r="B3" s="65" t="s">
        <v>58</v>
      </c>
      <c r="C3" s="65" t="s">
        <v>59</v>
      </c>
      <c r="D3" s="65" t="s">
        <v>60</v>
      </c>
    </row>
    <row r="4" spans="2:4" ht="18" customHeight="1" x14ac:dyDescent="0.3">
      <c r="B4" s="66" t="s">
        <v>61</v>
      </c>
      <c r="C4" s="67">
        <v>0.09</v>
      </c>
      <c r="D4" s="73" t="s">
        <v>62</v>
      </c>
    </row>
    <row r="5" spans="2:4" ht="18" customHeight="1" x14ac:dyDescent="0.3">
      <c r="B5" s="66" t="s">
        <v>63</v>
      </c>
      <c r="C5" s="67">
        <v>0.1</v>
      </c>
      <c r="D5" s="68" t="s">
        <v>64</v>
      </c>
    </row>
    <row r="6" spans="2:4" ht="18" customHeight="1" x14ac:dyDescent="0.3">
      <c r="B6" s="66" t="s">
        <v>65</v>
      </c>
      <c r="C6" s="67">
        <v>0.11</v>
      </c>
      <c r="D6" s="68" t="s">
        <v>66</v>
      </c>
    </row>
    <row r="7" spans="2:4" ht="18" customHeight="1" x14ac:dyDescent="0.3">
      <c r="B7" s="66" t="s">
        <v>67</v>
      </c>
      <c r="C7" s="67">
        <v>0.1</v>
      </c>
      <c r="D7" s="68" t="s">
        <v>68</v>
      </c>
    </row>
    <row r="8" spans="2:4" ht="18" customHeight="1" x14ac:dyDescent="0.3">
      <c r="B8" s="66" t="s">
        <v>69</v>
      </c>
      <c r="C8" s="67">
        <v>0.09</v>
      </c>
      <c r="D8" s="68" t="s">
        <v>70</v>
      </c>
    </row>
    <row r="9" spans="2:4" ht="18" customHeight="1" x14ac:dyDescent="0.3"/>
    <row r="10" spans="2:4" ht="18" customHeight="1" x14ac:dyDescent="0.3">
      <c r="B10" s="65" t="s">
        <v>58</v>
      </c>
      <c r="C10" s="65" t="s">
        <v>59</v>
      </c>
      <c r="D10" s="65" t="s">
        <v>60</v>
      </c>
    </row>
    <row r="11" spans="2:4" ht="18" customHeight="1" x14ac:dyDescent="0.3">
      <c r="B11" s="66" t="s">
        <v>71</v>
      </c>
      <c r="C11" s="67">
        <v>0.155</v>
      </c>
      <c r="D11" s="68" t="s">
        <v>72</v>
      </c>
    </row>
    <row r="12" spans="2:4" ht="18" customHeight="1" x14ac:dyDescent="0.3">
      <c r="B12" s="66" t="s">
        <v>73</v>
      </c>
      <c r="C12" s="67">
        <v>0.16</v>
      </c>
      <c r="D12" s="68" t="s">
        <v>74</v>
      </c>
    </row>
    <row r="13" spans="2:4" ht="18" customHeight="1" x14ac:dyDescent="0.3">
      <c r="B13" s="66" t="s">
        <v>75</v>
      </c>
      <c r="C13" s="67">
        <v>4.2000000000000003E-2</v>
      </c>
      <c r="D13" s="68" t="s">
        <v>76</v>
      </c>
    </row>
    <row r="14" spans="2:4" ht="18" customHeight="1" x14ac:dyDescent="0.3">
      <c r="B14" s="66" t="s">
        <v>77</v>
      </c>
      <c r="C14" s="67">
        <v>3.1E-2</v>
      </c>
      <c r="D14" s="68" t="s">
        <v>78</v>
      </c>
    </row>
    <row r="15" spans="2:4" ht="18" customHeight="1" x14ac:dyDescent="0.3">
      <c r="B15" s="66" t="s">
        <v>79</v>
      </c>
      <c r="C15" s="67">
        <v>-5.0000000000000001E-3</v>
      </c>
      <c r="D15" s="68" t="s">
        <v>80</v>
      </c>
    </row>
    <row r="16" spans="2:4" ht="18" customHeight="1" x14ac:dyDescent="0.3"/>
    <row r="17" spans="2:4" ht="18" customHeight="1" x14ac:dyDescent="0.3">
      <c r="B17" s="65" t="s">
        <v>58</v>
      </c>
      <c r="C17" s="65" t="s">
        <v>59</v>
      </c>
      <c r="D17" s="65" t="s">
        <v>60</v>
      </c>
    </row>
    <row r="18" spans="2:4" ht="18" customHeight="1" x14ac:dyDescent="0.3">
      <c r="B18" s="66" t="s">
        <v>81</v>
      </c>
      <c r="C18" s="67">
        <v>0.255</v>
      </c>
      <c r="D18" s="73" t="s">
        <v>82</v>
      </c>
    </row>
    <row r="19" spans="2:4" ht="18" customHeight="1" x14ac:dyDescent="0.3"/>
    <row r="20" spans="2:4" ht="18" customHeight="1" x14ac:dyDescent="0.3">
      <c r="B20" s="65" t="s">
        <v>58</v>
      </c>
      <c r="C20" s="65" t="s">
        <v>59</v>
      </c>
      <c r="D20" s="65" t="s">
        <v>60</v>
      </c>
    </row>
    <row r="21" spans="2:4" ht="18" customHeight="1" x14ac:dyDescent="0.3">
      <c r="B21" s="66" t="s">
        <v>83</v>
      </c>
      <c r="C21" s="67">
        <v>7.1999999999999995E-2</v>
      </c>
      <c r="D21" s="73" t="s">
        <v>84</v>
      </c>
    </row>
    <row r="22" spans="2:4" ht="18" customHeight="1" x14ac:dyDescent="0.3">
      <c r="B22" s="66" t="s">
        <v>85</v>
      </c>
      <c r="C22" s="67">
        <v>0.06</v>
      </c>
      <c r="D22" s="73" t="s">
        <v>86</v>
      </c>
    </row>
    <row r="23" spans="2:4" ht="18" customHeight="1" x14ac:dyDescent="0.3">
      <c r="B23" s="66" t="s">
        <v>87</v>
      </c>
      <c r="C23" s="69">
        <v>0.85</v>
      </c>
      <c r="D23" s="73" t="s">
        <v>88</v>
      </c>
    </row>
    <row r="24" spans="2:4" ht="18" customHeight="1" x14ac:dyDescent="0.3">
      <c r="B24" s="52" t="s">
        <v>89</v>
      </c>
      <c r="C24" s="70">
        <f>C21+C23*C22</f>
        <v>0.123</v>
      </c>
      <c r="D24" s="73" t="s">
        <v>90</v>
      </c>
    </row>
    <row r="25" spans="2:4" ht="18" customHeight="1" x14ac:dyDescent="0.3">
      <c r="B25" s="66" t="s">
        <v>91</v>
      </c>
      <c r="C25" s="67">
        <v>8.5000000000000006E-2</v>
      </c>
      <c r="D25" s="73" t="s">
        <v>92</v>
      </c>
    </row>
    <row r="26" spans="2:4" ht="18" customHeight="1" x14ac:dyDescent="0.3">
      <c r="B26" s="52" t="s">
        <v>93</v>
      </c>
      <c r="C26" s="70">
        <f>C18</f>
        <v>0.255</v>
      </c>
      <c r="D26" s="73" t="s">
        <v>94</v>
      </c>
    </row>
    <row r="27" spans="2:4" ht="18" customHeight="1" x14ac:dyDescent="0.3">
      <c r="B27" s="52" t="s">
        <v>95</v>
      </c>
      <c r="C27" s="70">
        <f>C25*(1-C26)</f>
        <v>6.3325000000000006E-2</v>
      </c>
      <c r="D27" s="73" t="s">
        <v>96</v>
      </c>
    </row>
    <row r="28" spans="2:4" ht="18" customHeight="1" x14ac:dyDescent="0.3">
      <c r="B28" s="66" t="s">
        <v>97</v>
      </c>
      <c r="C28" s="67">
        <v>0.92</v>
      </c>
      <c r="D28" s="73" t="s">
        <v>98</v>
      </c>
    </row>
    <row r="29" spans="2:4" ht="18" customHeight="1" x14ac:dyDescent="0.3">
      <c r="B29" s="52" t="s">
        <v>99</v>
      </c>
      <c r="C29" s="70">
        <f>1-C28</f>
        <v>7.999999999999996E-2</v>
      </c>
      <c r="D29" s="73" t="s">
        <v>100</v>
      </c>
    </row>
    <row r="30" spans="2:4" ht="18" customHeight="1" x14ac:dyDescent="0.3">
      <c r="B30" s="52" t="s">
        <v>101</v>
      </c>
      <c r="C30" s="70">
        <f>C28*C24+C29*C27</f>
        <v>0.118226</v>
      </c>
      <c r="D30" s="73" t="s">
        <v>102</v>
      </c>
    </row>
    <row r="31" spans="2:4" ht="18" customHeight="1" x14ac:dyDescent="0.3"/>
    <row r="32" spans="2:4" ht="18" customHeight="1" x14ac:dyDescent="0.3">
      <c r="B32" s="65" t="s">
        <v>58</v>
      </c>
      <c r="C32" s="65" t="s">
        <v>59</v>
      </c>
      <c r="D32" s="65" t="s">
        <v>60</v>
      </c>
    </row>
    <row r="33" spans="2:4" ht="18" customHeight="1" x14ac:dyDescent="0.3">
      <c r="B33" s="66" t="s">
        <v>103</v>
      </c>
      <c r="C33" s="67">
        <v>4.4999999999999998E-2</v>
      </c>
      <c r="D33" s="73" t="s">
        <v>104</v>
      </c>
    </row>
    <row r="34" spans="2:4" ht="26" x14ac:dyDescent="0.3">
      <c r="B34" s="52" t="s">
        <v>105</v>
      </c>
      <c r="C34" s="71" t="s">
        <v>106</v>
      </c>
      <c r="D34" s="73" t="s">
        <v>107</v>
      </c>
    </row>
    <row r="35" spans="2:4" ht="18" customHeight="1" x14ac:dyDescent="0.3"/>
    <row r="36" spans="2:4" ht="18" customHeight="1" x14ac:dyDescent="0.3">
      <c r="B36" s="72" t="s">
        <v>108</v>
      </c>
      <c r="C36" s="72"/>
      <c r="D36" s="72"/>
    </row>
  </sheetData>
  <mergeCells count="2">
    <mergeCell ref="B1:D1"/>
    <mergeCell ref="B36:D3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0"/>
  <sheetViews>
    <sheetView showGridLines="0" zoomScaleNormal="100" workbookViewId="0">
      <pane xSplit="2" ySplit="4" topLeftCell="C15" activePane="bottomRight" state="frozen"/>
      <selection pane="topRight" activeCell="C1" sqref="C1"/>
      <selection pane="bottomLeft" activeCell="A5" sqref="A5"/>
      <selection pane="bottomRight" activeCell="I11" sqref="I11"/>
    </sheetView>
  </sheetViews>
  <sheetFormatPr defaultColWidth="8.6328125" defaultRowHeight="14.5" x14ac:dyDescent="0.35"/>
  <cols>
    <col min="1" max="1" width="2" customWidth="1"/>
    <col min="2" max="2" width="38" customWidth="1"/>
    <col min="3" max="8" width="14" customWidth="1"/>
  </cols>
  <sheetData>
    <row r="1" spans="2:8" ht="27.75" customHeight="1" x14ac:dyDescent="0.35">
      <c r="B1" s="5" t="s">
        <v>109</v>
      </c>
      <c r="C1" s="5"/>
      <c r="D1" s="5"/>
      <c r="E1" s="5"/>
      <c r="F1" s="5"/>
      <c r="G1" s="5"/>
      <c r="H1" s="5"/>
    </row>
    <row r="2" spans="2:8" ht="18" customHeight="1" x14ac:dyDescent="0.35">
      <c r="B2" s="4" t="s">
        <v>110</v>
      </c>
      <c r="C2" s="4"/>
      <c r="D2" s="4"/>
      <c r="E2" s="4"/>
      <c r="F2" s="4"/>
      <c r="G2" s="4"/>
      <c r="H2" s="4"/>
    </row>
    <row r="3" spans="2:8" ht="18" customHeight="1" x14ac:dyDescent="0.35"/>
    <row r="4" spans="2:8" ht="21.75" customHeight="1" x14ac:dyDescent="0.35">
      <c r="B4" s="47" t="s">
        <v>18</v>
      </c>
      <c r="C4" s="47" t="s">
        <v>111</v>
      </c>
      <c r="D4" s="47" t="s">
        <v>112</v>
      </c>
      <c r="E4" s="47" t="s">
        <v>113</v>
      </c>
      <c r="F4" s="47" t="s">
        <v>114</v>
      </c>
      <c r="G4" s="47" t="s">
        <v>115</v>
      </c>
    </row>
    <row r="5" spans="2:8" ht="18" customHeight="1" x14ac:dyDescent="0.35">
      <c r="B5" s="48" t="s">
        <v>116</v>
      </c>
      <c r="C5" s="49"/>
      <c r="D5" s="49"/>
      <c r="E5" s="49"/>
      <c r="F5" s="49"/>
      <c r="G5" s="49"/>
      <c r="H5" s="8"/>
    </row>
    <row r="6" spans="2:8" ht="18" customHeight="1" x14ac:dyDescent="0.35">
      <c r="B6" s="50" t="s">
        <v>25</v>
      </c>
      <c r="C6" s="51">
        <f>'Historical Financials'!G6*(1+Assumptions!C4)</f>
        <v>106040.65000000001</v>
      </c>
      <c r="D6" s="51">
        <f>C6*(1+Assumptions!C5)</f>
        <v>116644.71500000003</v>
      </c>
      <c r="E6" s="51">
        <f>D6*(1+Assumptions!C6)</f>
        <v>129475.63365000005</v>
      </c>
      <c r="F6" s="51">
        <f>E6*(1+Assumptions!C7)</f>
        <v>142423.19701500007</v>
      </c>
      <c r="G6" s="51">
        <f>F6*(1+Assumptions!C8)</f>
        <v>155241.28474635008</v>
      </c>
    </row>
    <row r="7" spans="2:8" ht="18" customHeight="1" x14ac:dyDescent="0.35">
      <c r="B7" s="52" t="s">
        <v>26</v>
      </c>
      <c r="C7" s="53">
        <f>C6/'Historical Financials'!G6-1</f>
        <v>9.000000000000008E-2</v>
      </c>
      <c r="D7" s="53">
        <f>D6/C6-1</f>
        <v>0.10000000000000009</v>
      </c>
      <c r="E7" s="53">
        <f>E6/D6-1</f>
        <v>0.1100000000000001</v>
      </c>
      <c r="F7" s="53">
        <f>F6/E6-1</f>
        <v>0.10000000000000009</v>
      </c>
      <c r="G7" s="53">
        <f>G6/F6-1</f>
        <v>9.000000000000008E-2</v>
      </c>
    </row>
    <row r="8" spans="2:8" ht="18" customHeight="1" x14ac:dyDescent="0.35">
      <c r="B8" s="50" t="s">
        <v>35</v>
      </c>
      <c r="C8" s="51">
        <f>C6*Assumptions!$C$11</f>
        <v>16436.300750000002</v>
      </c>
      <c r="D8" s="51">
        <f>D6*Assumptions!$C$11</f>
        <v>18079.930825000003</v>
      </c>
      <c r="E8" s="51">
        <f>E6*Assumptions!$C$11</f>
        <v>20068.723215750008</v>
      </c>
      <c r="F8" s="51">
        <f>F6*Assumptions!$C$12</f>
        <v>22787.711522400012</v>
      </c>
      <c r="G8" s="51">
        <f>G6*Assumptions!$C$12</f>
        <v>24838.605559416013</v>
      </c>
    </row>
    <row r="9" spans="2:8" ht="18" customHeight="1" x14ac:dyDescent="0.35">
      <c r="B9" s="52" t="s">
        <v>36</v>
      </c>
      <c r="C9" s="53">
        <f>C8/C6</f>
        <v>0.155</v>
      </c>
      <c r="D9" s="53">
        <f>D8/D6</f>
        <v>0.155</v>
      </c>
      <c r="E9" s="53">
        <f>E8/E6</f>
        <v>0.155</v>
      </c>
      <c r="F9" s="53">
        <f>F8/F6</f>
        <v>0.16</v>
      </c>
      <c r="G9" s="53">
        <f>G8/G6</f>
        <v>0.16</v>
      </c>
    </row>
    <row r="10" spans="2:8" ht="18" customHeight="1" x14ac:dyDescent="0.35">
      <c r="B10" s="52" t="s">
        <v>34</v>
      </c>
      <c r="C10" s="54">
        <f>C6*Assumptions!$C$13</f>
        <v>4453.7073000000009</v>
      </c>
      <c r="D10" s="54">
        <f>D6*Assumptions!$C$13</f>
        <v>4899.0780300000015</v>
      </c>
      <c r="E10" s="54">
        <f>E6*Assumptions!$C$13</f>
        <v>5437.9766133000021</v>
      </c>
      <c r="F10" s="54">
        <f>F6*Assumptions!$C$13</f>
        <v>5981.7742746300037</v>
      </c>
      <c r="G10" s="54">
        <f>G6*Assumptions!$C$13</f>
        <v>6520.1339593467037</v>
      </c>
    </row>
    <row r="11" spans="2:8" ht="18" customHeight="1" x14ac:dyDescent="0.35">
      <c r="B11" s="55" t="s">
        <v>117</v>
      </c>
      <c r="C11" s="56">
        <f>C8</f>
        <v>16436.300750000002</v>
      </c>
      <c r="D11" s="56">
        <f>D8</f>
        <v>18079.930825000003</v>
      </c>
      <c r="E11" s="56">
        <f>E8</f>
        <v>20068.723215750008</v>
      </c>
      <c r="F11" s="56">
        <f>F8</f>
        <v>22787.711522400012</v>
      </c>
      <c r="G11" s="56">
        <f>G8</f>
        <v>24838.605559416013</v>
      </c>
    </row>
    <row r="12" spans="2:8" ht="18" customHeight="1" x14ac:dyDescent="0.35">
      <c r="B12" s="57" t="s">
        <v>118</v>
      </c>
      <c r="C12" s="58">
        <f>C11*(1-Assumptions!$C$18)</f>
        <v>12245.044058750002</v>
      </c>
      <c r="D12" s="58">
        <f>D11*(1-Assumptions!$C$18)</f>
        <v>13469.548464625002</v>
      </c>
      <c r="E12" s="58">
        <f>E11*(1-Assumptions!$C$18)</f>
        <v>14951.198795733755</v>
      </c>
      <c r="F12" s="58">
        <f>F11*(1-Assumptions!$C$18)</f>
        <v>16976.845084188008</v>
      </c>
      <c r="G12" s="58">
        <f>G11*(1-Assumptions!$C$18)</f>
        <v>18504.761141764931</v>
      </c>
    </row>
    <row r="13" spans="2:8" ht="18" customHeight="1" x14ac:dyDescent="0.35">
      <c r="B13" s="52" t="s">
        <v>119</v>
      </c>
      <c r="C13" s="54">
        <f>C10</f>
        <v>4453.7073000000009</v>
      </c>
      <c r="D13" s="54">
        <f>D10</f>
        <v>4899.0780300000015</v>
      </c>
      <c r="E13" s="54">
        <f>E10</f>
        <v>5437.9766133000021</v>
      </c>
      <c r="F13" s="54">
        <f>F10</f>
        <v>5981.7742746300037</v>
      </c>
      <c r="G13" s="54">
        <f>G10</f>
        <v>6520.1339593467037</v>
      </c>
    </row>
    <row r="14" spans="2:8" ht="18" customHeight="1" x14ac:dyDescent="0.35">
      <c r="B14" s="52" t="s">
        <v>120</v>
      </c>
      <c r="C14" s="54">
        <f>-C6*Assumptions!$C$14</f>
        <v>-3287.2601500000001</v>
      </c>
      <c r="D14" s="54">
        <f>-D6*Assumptions!$C$14</f>
        <v>-3615.9861650000007</v>
      </c>
      <c r="E14" s="54">
        <f>-E6*Assumptions!$C$14</f>
        <v>-4013.7446431500016</v>
      </c>
      <c r="F14" s="54">
        <f>-F6*Assumptions!$C$14</f>
        <v>-4415.1191074650023</v>
      </c>
      <c r="G14" s="54">
        <f>-G6*Assumptions!$C$14</f>
        <v>-4812.4798271368527</v>
      </c>
    </row>
    <row r="15" spans="2:8" ht="18" customHeight="1" x14ac:dyDescent="0.35">
      <c r="B15" s="52" t="s">
        <v>121</v>
      </c>
      <c r="C15" s="54">
        <f>C6*Assumptions!$C$15</f>
        <v>-530.20325000000003</v>
      </c>
      <c r="D15" s="54">
        <f>D6*Assumptions!$C$15</f>
        <v>-583.2235750000001</v>
      </c>
      <c r="E15" s="54">
        <f>E6*Assumptions!$C$15</f>
        <v>-647.37816825000027</v>
      </c>
      <c r="F15" s="54">
        <f>F6*Assumptions!$C$15</f>
        <v>-712.11598507500037</v>
      </c>
      <c r="G15" s="54">
        <f>G6*Assumptions!$C$15</f>
        <v>-776.20642373175042</v>
      </c>
    </row>
    <row r="16" spans="2:8" ht="18" customHeight="1" x14ac:dyDescent="0.35">
      <c r="B16" s="57" t="s">
        <v>122</v>
      </c>
      <c r="C16" s="58">
        <f>C12+C13+C14+C15</f>
        <v>12881.287958750003</v>
      </c>
      <c r="D16" s="58">
        <f>D12+D13+D14+D15</f>
        <v>14169.416754625005</v>
      </c>
      <c r="E16" s="58">
        <f>E12+E13+E14+E15</f>
        <v>15728.052597633756</v>
      </c>
      <c r="F16" s="58">
        <f>F12+F13+F14+F15</f>
        <v>17831.384266278008</v>
      </c>
      <c r="G16" s="58">
        <f>G12+G13+G14+G15</f>
        <v>19436.208850243034</v>
      </c>
    </row>
    <row r="17" spans="2:8" ht="18" customHeight="1" x14ac:dyDescent="0.35">
      <c r="B17" s="52" t="s">
        <v>46</v>
      </c>
      <c r="C17" s="53">
        <f>C16/C6</f>
        <v>0.12147500000000001</v>
      </c>
      <c r="D17" s="53">
        <f>D16/D6</f>
        <v>0.12147500000000001</v>
      </c>
      <c r="E17" s="53">
        <f>E16/E6</f>
        <v>0.121475</v>
      </c>
      <c r="F17" s="53">
        <f>F16/F6</f>
        <v>0.12520000000000001</v>
      </c>
      <c r="G17" s="53">
        <f>G16/G6</f>
        <v>0.12520000000000003</v>
      </c>
    </row>
    <row r="18" spans="2:8" ht="18" customHeight="1" x14ac:dyDescent="0.35"/>
    <row r="19" spans="2:8" ht="18" customHeight="1" x14ac:dyDescent="0.35"/>
    <row r="20" spans="2:8" ht="18" customHeight="1" x14ac:dyDescent="0.35">
      <c r="B20" s="3" t="s">
        <v>123</v>
      </c>
      <c r="C20" s="3"/>
      <c r="D20" s="3"/>
      <c r="E20" s="3"/>
      <c r="F20" s="3"/>
      <c r="G20" s="3"/>
      <c r="H20" s="3"/>
    </row>
  </sheetData>
  <mergeCells count="3">
    <mergeCell ref="B1:H1"/>
    <mergeCell ref="B2:H2"/>
    <mergeCell ref="B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46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2" customWidth="1"/>
    <col min="2" max="2" width="40" customWidth="1"/>
    <col min="3" max="9" width="15" customWidth="1"/>
  </cols>
  <sheetData>
    <row r="1" spans="2:9" ht="27.75" customHeight="1" x14ac:dyDescent="0.35">
      <c r="B1" s="5" t="s">
        <v>124</v>
      </c>
      <c r="C1" s="5"/>
      <c r="D1" s="5"/>
      <c r="E1" s="5"/>
      <c r="F1" s="5"/>
      <c r="G1" s="5"/>
      <c r="H1" s="5"/>
      <c r="I1" s="5"/>
    </row>
    <row r="2" spans="2:9" ht="18" customHeight="1" x14ac:dyDescent="0.35"/>
    <row r="3" spans="2:9" ht="18" customHeight="1" x14ac:dyDescent="0.35">
      <c r="B3" s="6" t="s">
        <v>125</v>
      </c>
      <c r="C3" s="8"/>
      <c r="D3" s="8"/>
      <c r="E3" s="8"/>
      <c r="F3" s="8"/>
      <c r="G3" s="8"/>
      <c r="H3" s="8"/>
      <c r="I3" s="8"/>
    </row>
    <row r="4" spans="2:9" ht="18" customHeight="1" x14ac:dyDescent="0.35">
      <c r="B4" s="7" t="s">
        <v>18</v>
      </c>
      <c r="C4" s="7" t="s">
        <v>111</v>
      </c>
      <c r="D4" s="7" t="s">
        <v>112</v>
      </c>
      <c r="E4" s="7" t="s">
        <v>113</v>
      </c>
      <c r="F4" s="7" t="s">
        <v>114</v>
      </c>
      <c r="G4" s="7" t="s">
        <v>115</v>
      </c>
    </row>
    <row r="5" spans="2:9" ht="18" customHeight="1" x14ac:dyDescent="0.35">
      <c r="B5" s="9" t="s">
        <v>122</v>
      </c>
      <c r="C5" s="22">
        <f>'Financial Forecasts'!C16</f>
        <v>12881.287958750003</v>
      </c>
      <c r="D5" s="22">
        <f>'Financial Forecasts'!D16</f>
        <v>14169.416754625005</v>
      </c>
      <c r="E5" s="22">
        <f>'Financial Forecasts'!E16</f>
        <v>15728.052597633756</v>
      </c>
      <c r="F5" s="22">
        <f>'Financial Forecasts'!F16</f>
        <v>17831.384266278008</v>
      </c>
      <c r="G5" s="22">
        <f>'Financial Forecasts'!G16</f>
        <v>19436.208850243034</v>
      </c>
    </row>
    <row r="6" spans="2:9" ht="18" customHeight="1" x14ac:dyDescent="0.35">
      <c r="B6" s="11" t="s">
        <v>126</v>
      </c>
      <c r="C6" s="23">
        <v>1</v>
      </c>
      <c r="D6" s="23">
        <v>2</v>
      </c>
      <c r="E6" s="23">
        <v>3</v>
      </c>
      <c r="F6" s="23">
        <v>4</v>
      </c>
      <c r="G6" s="23">
        <v>5</v>
      </c>
    </row>
    <row r="7" spans="2:9" ht="18" customHeight="1" x14ac:dyDescent="0.35">
      <c r="B7" s="14" t="s">
        <v>127</v>
      </c>
      <c r="C7" s="24">
        <f>1/(1+Assumptions!$C$31)^C6</f>
        <v>1</v>
      </c>
      <c r="D7" s="24">
        <f>1/(1+Assumptions!$C$31)^D6</f>
        <v>1</v>
      </c>
      <c r="E7" s="24">
        <f>1/(1+Assumptions!$C$31)^E6</f>
        <v>1</v>
      </c>
      <c r="F7" s="24">
        <f>1/(1+Assumptions!$C$31)^F6</f>
        <v>1</v>
      </c>
      <c r="G7" s="24">
        <f>1/(1+Assumptions!$C$31)^G6</f>
        <v>1</v>
      </c>
    </row>
    <row r="8" spans="2:9" ht="18" customHeight="1" x14ac:dyDescent="0.35">
      <c r="B8" s="15" t="s">
        <v>128</v>
      </c>
      <c r="C8" s="16">
        <f>C5*C7</f>
        <v>12881.287958750003</v>
      </c>
      <c r="D8" s="16">
        <f>D5*D7</f>
        <v>14169.416754625005</v>
      </c>
      <c r="E8" s="16">
        <f>E5*E7</f>
        <v>15728.052597633756</v>
      </c>
      <c r="F8" s="16">
        <f>F5*F7</f>
        <v>17831.384266278008</v>
      </c>
      <c r="G8" s="16">
        <f>G5*G7</f>
        <v>19436.208850243034</v>
      </c>
    </row>
    <row r="9" spans="2:9" ht="18" customHeight="1" x14ac:dyDescent="0.35"/>
    <row r="10" spans="2:9" ht="18" customHeight="1" x14ac:dyDescent="0.35">
      <c r="B10" s="6" t="s">
        <v>129</v>
      </c>
      <c r="C10" s="8"/>
      <c r="D10" s="8"/>
      <c r="E10" s="8"/>
      <c r="F10" s="8"/>
      <c r="G10" s="8"/>
      <c r="H10" s="8"/>
      <c r="I10" s="8"/>
    </row>
    <row r="11" spans="2:9" ht="18" customHeight="1" x14ac:dyDescent="0.35">
      <c r="B11" s="11" t="s">
        <v>130</v>
      </c>
      <c r="C11" s="13">
        <f>'Financial Forecasts'!G16</f>
        <v>19436.208850243034</v>
      </c>
    </row>
    <row r="12" spans="2:9" ht="18" customHeight="1" x14ac:dyDescent="0.35">
      <c r="B12" s="14" t="s">
        <v>103</v>
      </c>
      <c r="C12" s="19">
        <f>Assumptions!C33</f>
        <v>4.4999999999999998E-2</v>
      </c>
    </row>
    <row r="13" spans="2:9" ht="18" customHeight="1" x14ac:dyDescent="0.35">
      <c r="B13" s="11" t="s">
        <v>101</v>
      </c>
      <c r="C13" s="12">
        <f>Assumptions!C31</f>
        <v>0</v>
      </c>
    </row>
    <row r="14" spans="2:9" ht="18" customHeight="1" x14ac:dyDescent="0.35">
      <c r="B14" s="9" t="s">
        <v>131</v>
      </c>
      <c r="C14" s="16">
        <f>C11*(1+C12)/(C13-C12)</f>
        <v>-451351.96107786603</v>
      </c>
    </row>
    <row r="15" spans="2:9" ht="18" customHeight="1" x14ac:dyDescent="0.35">
      <c r="B15" s="25" t="s">
        <v>132</v>
      </c>
      <c r="C15" s="16">
        <f>C14/(1+Assumptions!$C$31)^5</f>
        <v>-451351.96107786603</v>
      </c>
    </row>
    <row r="16" spans="2:9" ht="18" customHeight="1" x14ac:dyDescent="0.35"/>
    <row r="17" spans="2:9" ht="18" customHeight="1" x14ac:dyDescent="0.35">
      <c r="B17" s="6" t="s">
        <v>133</v>
      </c>
      <c r="C17" s="8"/>
      <c r="D17" s="8"/>
      <c r="E17" s="8"/>
      <c r="F17" s="8"/>
      <c r="G17" s="8"/>
      <c r="H17" s="8"/>
      <c r="I17" s="8"/>
    </row>
    <row r="18" spans="2:9" ht="18" customHeight="1" x14ac:dyDescent="0.35">
      <c r="B18" s="9" t="s">
        <v>134</v>
      </c>
      <c r="C18" s="10">
        <f>SUM(C8:G8)</f>
        <v>80046.350427529804</v>
      </c>
    </row>
    <row r="19" spans="2:9" ht="18" customHeight="1" x14ac:dyDescent="0.35">
      <c r="B19" s="11" t="s">
        <v>135</v>
      </c>
      <c r="C19" s="13">
        <f>C15</f>
        <v>-451351.96107786603</v>
      </c>
    </row>
    <row r="20" spans="2:9" ht="18" customHeight="1" x14ac:dyDescent="0.35">
      <c r="B20" s="17" t="s">
        <v>136</v>
      </c>
      <c r="C20" s="18">
        <f>C18+C19</f>
        <v>-371305.61065033625</v>
      </c>
    </row>
    <row r="21" spans="2:9" ht="18" customHeight="1" x14ac:dyDescent="0.35">
      <c r="B21" s="11" t="s">
        <v>137</v>
      </c>
      <c r="C21" s="13">
        <f>-'Historical Financials'!G28</f>
        <v>-4234</v>
      </c>
    </row>
    <row r="22" spans="2:9" ht="18" customHeight="1" x14ac:dyDescent="0.35">
      <c r="B22" s="11" t="s">
        <v>138</v>
      </c>
      <c r="C22" s="13">
        <f>'Historical Financials'!G29</f>
        <v>28456</v>
      </c>
    </row>
    <row r="23" spans="2:9" ht="18" customHeight="1" x14ac:dyDescent="0.35">
      <c r="B23" s="15" t="s">
        <v>139</v>
      </c>
      <c r="C23" s="16">
        <f>C20+C21+C22</f>
        <v>-347083.61065033625</v>
      </c>
    </row>
    <row r="24" spans="2:9" ht="18" customHeight="1" x14ac:dyDescent="0.35">
      <c r="B24" s="14" t="s">
        <v>140</v>
      </c>
      <c r="C24" s="26">
        <v>523</v>
      </c>
    </row>
    <row r="25" spans="2:9" ht="18" customHeight="1" x14ac:dyDescent="0.35">
      <c r="B25" s="27" t="s">
        <v>141</v>
      </c>
      <c r="C25" s="28">
        <f>C23/C24</f>
        <v>-663.63979091842498</v>
      </c>
    </row>
    <row r="26" spans="2:9" ht="18" customHeight="1" x14ac:dyDescent="0.35">
      <c r="B26" s="11" t="s">
        <v>142</v>
      </c>
      <c r="C26" s="20">
        <v>480</v>
      </c>
    </row>
    <row r="27" spans="2:9" ht="18" customHeight="1" x14ac:dyDescent="0.35">
      <c r="B27" s="17" t="s">
        <v>143</v>
      </c>
      <c r="C27" s="29">
        <f>(C25-C26)/C26</f>
        <v>-2.3825828977467185</v>
      </c>
    </row>
    <row r="28" spans="2:9" ht="18" customHeight="1" x14ac:dyDescent="0.35">
      <c r="B28" s="15" t="s">
        <v>144</v>
      </c>
      <c r="C28" s="30" t="str">
        <f>IF(C25&gt;C26,"UNDERVALUED ✓","OVERVALUED ✗")</f>
        <v>OVERVALUED ✗</v>
      </c>
    </row>
    <row r="29" spans="2:9" ht="18" customHeight="1" x14ac:dyDescent="0.35"/>
    <row r="30" spans="2:9" ht="18" customHeight="1" x14ac:dyDescent="0.35">
      <c r="B30" s="6" t="s">
        <v>145</v>
      </c>
      <c r="C30" s="8"/>
      <c r="D30" s="8"/>
      <c r="E30" s="8"/>
      <c r="F30" s="8"/>
      <c r="G30" s="8"/>
      <c r="H30" s="8"/>
      <c r="I30" s="8"/>
    </row>
    <row r="31" spans="2:9" ht="18" customHeight="1" x14ac:dyDescent="0.35">
      <c r="B31" s="21" t="s">
        <v>146</v>
      </c>
      <c r="C31" s="31">
        <v>0.09</v>
      </c>
      <c r="D31" s="31">
        <v>0.1</v>
      </c>
      <c r="E31" s="31">
        <v>0.11</v>
      </c>
      <c r="F31" s="31">
        <v>0.12</v>
      </c>
      <c r="G31" s="31">
        <v>0.13</v>
      </c>
    </row>
    <row r="32" spans="2:9" ht="18" customHeight="1" x14ac:dyDescent="0.35">
      <c r="B32" s="31">
        <v>0.03</v>
      </c>
      <c r="C32" s="32">
        <f>(('Financial Forecasts'!G16*(1+0.03)/(0.09-0.03))/(1+0.09)^5+SUM('DCF Valuation'!C8:G8)+'Historical Financials'!G29-'Historical Financials'!G28)/'DCF Valuation'!C24</f>
        <v>613.99838282176836</v>
      </c>
      <c r="D32" s="32">
        <f>(('Financial Forecasts'!G16*(1+0.03)/(0.1-0.03))/(1+0.1)^5+SUM('DCF Valuation'!C8:G8)+'Historical Financials'!G29-'Historical Financials'!G28)/'DCF Valuation'!C24</f>
        <v>538.90171373696955</v>
      </c>
      <c r="E32" s="32">
        <f>(('Financial Forecasts'!G16*(1+0.03)/(0.11-0.03))/(1+0.11)^5+SUM('DCF Valuation'!C8:G8)+'Historical Financials'!G29-'Historical Financials'!G28)/'DCF Valuation'!C24</f>
        <v>483.31609243404949</v>
      </c>
      <c r="F32" s="32">
        <f>(('Financial Forecasts'!G16*(1+0.03)/(0.12-0.03))/(1+0.12)^5+SUM('DCF Valuation'!C8:G8)+'Historical Financials'!G29-'Historical Financials'!G28)/'DCF Valuation'!C24</f>
        <v>440.69762523285749</v>
      </c>
      <c r="G32" s="32">
        <f>(('Financial Forecasts'!G16*(1+0.03)/(0.13-0.03))/(1+0.13)^5+SUM('DCF Valuation'!C8:G8)+'Historical Financials'!G29-'Historical Financials'!G28)/'DCF Valuation'!C24</f>
        <v>407.12249289735564</v>
      </c>
    </row>
    <row r="33" spans="2:9" ht="18" customHeight="1" x14ac:dyDescent="0.35">
      <c r="B33" s="31">
        <v>3.5000000000000003E-2</v>
      </c>
      <c r="C33" s="33">
        <f>(('Financial Forecasts'!G16*(1+0.035)/(0.09-0.035))/(1+0.09)^5+SUM('DCF Valuation'!C8:G8)+'Historical Financials'!G29-'Historical Financials'!G28)/'DCF Valuation'!C24</f>
        <v>653.88800666162194</v>
      </c>
      <c r="D33" s="33">
        <f>(('Financial Forecasts'!G16*(1+0.035)/(0.1-0.035))/(1+0.1)^5+SUM('DCF Valuation'!C8:G8)+'Historical Financials'!G29-'Historical Financials'!G28)/'DCF Valuation'!C24</f>
        <v>566.79487484469894</v>
      </c>
      <c r="E33" s="33">
        <f>(('Financial Forecasts'!G16*(1+0.035)/(0.11-0.035))/(1+0.11)^5+SUM('DCF Valuation'!C8:G8)+'Historical Financials'!G29-'Historical Financials'!G28)/'DCF Valuation'!C24</f>
        <v>503.71639961952786</v>
      </c>
      <c r="F33" s="33">
        <f>(('Financial Forecasts'!G16*(1+0.035)/(0.12-0.035))/(1+0.12)^5+SUM('DCF Valuation'!C8:G8)+'Historical Financials'!G29-'Historical Financials'!G28)/'DCF Valuation'!C24</f>
        <v>456.13403671010838</v>
      </c>
      <c r="G33" s="33">
        <f>(('Financial Forecasts'!G16*(1+0.035)/(0.13-0.035))/(1+0.13)^5+SUM('DCF Valuation'!C8:G8)+'Historical Financials'!G29-'Historical Financials'!G28)/'DCF Valuation'!C24</f>
        <v>419.1186596307175</v>
      </c>
    </row>
    <row r="34" spans="2:9" ht="18" customHeight="1" x14ac:dyDescent="0.35">
      <c r="B34" s="31">
        <v>0.04</v>
      </c>
      <c r="C34" s="32">
        <f>(('Financial Forecasts'!G16*(1+0.04)/(0.09-0.04))/(1+0.09)^5+SUM('DCF Valuation'!C8:G8)+'Historical Financials'!G29-'Historical Financials'!G28)/'DCF Valuation'!C24</f>
        <v>701.75555526944618</v>
      </c>
      <c r="D34" s="32">
        <f>(('Financial Forecasts'!G16*(1+0.04)/(0.1-0.04))/(1+0.1)^5+SUM('DCF Valuation'!C8:G8)+'Historical Financials'!G29-'Historical Financials'!G28)/'DCF Valuation'!C24</f>
        <v>599.33689613704996</v>
      </c>
      <c r="E34" s="32">
        <f>(('Financial Forecasts'!G16*(1+0.04)/(0.11-0.04))/(1+0.11)^5+SUM('DCF Valuation'!C8:G8)+'Historical Financials'!G29-'Historical Financials'!G28)/'DCF Valuation'!C24</f>
        <v>527.03103640293182</v>
      </c>
      <c r="F34" s="32">
        <f>(('Financial Forecasts'!G16*(1+0.04)/(0.12-0.04))/(1+0.12)^5+SUM('DCF Valuation'!C8:G8)+'Historical Financials'!G29-'Historical Financials'!G28)/'DCF Valuation'!C24</f>
        <v>473.49999962201576</v>
      </c>
      <c r="G34" s="32">
        <f>(('Financial Forecasts'!G16*(1+0.04)/(0.13-0.04))/(1+0.13)^5+SUM('DCF Valuation'!C8:G8)+'Historical Financials'!G29-'Historical Financials'!G28)/'DCF Valuation'!C24</f>
        <v>432.44773377889737</v>
      </c>
    </row>
    <row r="35" spans="2:9" ht="18" customHeight="1" x14ac:dyDescent="0.35">
      <c r="B35" s="31">
        <v>4.4999999999999998E-2</v>
      </c>
      <c r="C35" s="33">
        <f>(('Financial Forecasts'!G16*(1+0.045)/(0.09-0.045))/(1+0.09)^5+SUM('DCF Valuation'!C8:G8)+'Historical Financials'!G29-'Historical Financials'!G28)/'DCF Valuation'!C24</f>
        <v>760.26033690123154</v>
      </c>
      <c r="D35" s="33">
        <f>(('Financial Forecasts'!G16*(1+0.045)/(0.1-0.045))/(1+0.1)^5+SUM('DCF Valuation'!C8:G8)+'Historical Financials'!G29-'Historical Financials'!G28)/'DCF Valuation'!C24</f>
        <v>637.79564857346475</v>
      </c>
      <c r="E35" s="28">
        <f>(('Financial Forecasts'!G16*(1+0.045)/(0.11-0.045))/(1+0.11)^5+SUM('DCF Valuation'!C8:G8)+'Historical Financials'!G29-'Historical Financials'!G28)/'DCF Valuation'!C24</f>
        <v>553.93254038378245</v>
      </c>
      <c r="F35" s="33">
        <f>(('Financial Forecasts'!G16*(1+0.045)/(0.12-0.045))/(1+0.12)^5+SUM('DCF Valuation'!C8:G8)+'Historical Financials'!G29-'Historical Financials'!G28)/'DCF Valuation'!C24</f>
        <v>493.18142425551065</v>
      </c>
      <c r="G35" s="33">
        <f>(('Financial Forecasts'!G16*(1+0.045)/(0.13-0.045))/(1+0.13)^5+SUM('DCF Valuation'!C8:G8)+'Historical Financials'!G29-'Historical Financials'!G28)/'DCF Valuation'!C24</f>
        <v>447.34493429745135</v>
      </c>
    </row>
    <row r="36" spans="2:9" ht="18" customHeight="1" x14ac:dyDescent="0.35">
      <c r="B36" s="31">
        <v>0.05</v>
      </c>
      <c r="C36" s="32">
        <f>(('Financial Forecasts'!G16*(1+0.05)/(0.09-0.05))/(1+0.09)^5+SUM('DCF Valuation'!C8:G8)+'Historical Financials'!G29-'Historical Financials'!G28)/'DCF Valuation'!C24</f>
        <v>833.39131394096307</v>
      </c>
      <c r="D36" s="32">
        <f>(('Financial Forecasts'!G16*(1+0.05)/(0.1-0.05))/(1+0.1)^5+SUM('DCF Valuation'!C8:G8)+'Historical Financials'!G29-'Historical Financials'!G28)/'DCF Valuation'!C24</f>
        <v>683.94615149716265</v>
      </c>
      <c r="E36" s="32">
        <f>(('Financial Forecasts'!G16*(1+0.05)/(0.11-0.05))/(1+0.11)^5+SUM('DCF Valuation'!C8:G8)+'Historical Financials'!G29-'Historical Financials'!G28)/'DCF Valuation'!C24</f>
        <v>585.31762836144162</v>
      </c>
      <c r="F36" s="32">
        <f>(('Financial Forecasts'!G16*(1+0.05)/(0.12-0.05))/(1+0.12)^5+SUM('DCF Valuation'!C8:G8)+'Historical Financials'!G29-'Historical Financials'!G28)/'DCF Valuation'!C24</f>
        <v>515.67448097950489</v>
      </c>
      <c r="G36" s="32">
        <f>(('Financial Forecasts'!G16*(1+0.05)/(0.13-0.05))/(1+0.13)^5+SUM('DCF Valuation'!C8:G8)+'Historical Financials'!G29-'Historical Financials'!G28)/'DCF Valuation'!C24</f>
        <v>464.10428488082459</v>
      </c>
    </row>
    <row r="37" spans="2:9" ht="18" customHeight="1" x14ac:dyDescent="0.35"/>
    <row r="38" spans="2:9" ht="18" customHeight="1" x14ac:dyDescent="0.35">
      <c r="B38" s="2" t="s">
        <v>147</v>
      </c>
      <c r="C38" s="2"/>
      <c r="D38" s="2"/>
      <c r="E38" s="2"/>
      <c r="F38" s="2"/>
      <c r="G38" s="2"/>
      <c r="H38" s="2"/>
      <c r="I38" s="2"/>
    </row>
    <row r="39" spans="2:9" ht="18" customHeight="1" x14ac:dyDescent="0.35"/>
    <row r="40" spans="2:9" ht="18" customHeight="1" x14ac:dyDescent="0.35">
      <c r="B40" s="6" t="s">
        <v>148</v>
      </c>
      <c r="C40" s="8"/>
      <c r="D40" s="8"/>
      <c r="E40" s="8"/>
      <c r="F40" s="8"/>
      <c r="G40" s="8"/>
      <c r="H40" s="8"/>
      <c r="I40" s="8"/>
    </row>
    <row r="41" spans="2:9" ht="18" customHeight="1" x14ac:dyDescent="0.35">
      <c r="B41" s="1" t="s">
        <v>149</v>
      </c>
      <c r="C41" s="1"/>
      <c r="D41" s="1"/>
      <c r="E41" s="1"/>
      <c r="F41" s="1"/>
      <c r="G41" s="1"/>
      <c r="H41" s="1"/>
      <c r="I41" s="1"/>
    </row>
    <row r="42" spans="2:9" ht="18" customHeight="1" x14ac:dyDescent="0.35">
      <c r="B42" s="34" t="s">
        <v>150</v>
      </c>
      <c r="C42" s="34"/>
      <c r="D42" s="34"/>
      <c r="E42" s="34"/>
      <c r="F42" s="34"/>
      <c r="G42" s="34"/>
      <c r="H42" s="34"/>
      <c r="I42" s="34"/>
    </row>
    <row r="43" spans="2:9" ht="18" customHeight="1" x14ac:dyDescent="0.35">
      <c r="B43" s="1" t="s">
        <v>151</v>
      </c>
      <c r="C43" s="1"/>
      <c r="D43" s="1"/>
      <c r="E43" s="1"/>
      <c r="F43" s="1"/>
      <c r="G43" s="1"/>
      <c r="H43" s="1"/>
      <c r="I43" s="1"/>
    </row>
    <row r="44" spans="2:9" ht="18" customHeight="1" x14ac:dyDescent="0.35">
      <c r="B44" s="34" t="s">
        <v>152</v>
      </c>
      <c r="C44" s="34"/>
      <c r="D44" s="34"/>
      <c r="E44" s="34"/>
      <c r="F44" s="34"/>
      <c r="G44" s="34"/>
      <c r="H44" s="34"/>
      <c r="I44" s="34"/>
    </row>
    <row r="45" spans="2:9" ht="18" customHeight="1" x14ac:dyDescent="0.35">
      <c r="B45" s="1" t="s">
        <v>153</v>
      </c>
      <c r="C45" s="1"/>
      <c r="D45" s="1"/>
      <c r="E45" s="1"/>
      <c r="F45" s="1"/>
      <c r="G45" s="1"/>
      <c r="H45" s="1"/>
      <c r="I45" s="1"/>
    </row>
    <row r="46" spans="2:9" ht="18" customHeight="1" x14ac:dyDescent="0.35">
      <c r="B46" s="34" t="s">
        <v>154</v>
      </c>
      <c r="C46" s="34"/>
      <c r="D46" s="34"/>
      <c r="E46" s="34"/>
      <c r="F46" s="34"/>
      <c r="G46" s="34"/>
      <c r="H46" s="34"/>
      <c r="I46" s="34"/>
    </row>
  </sheetData>
  <mergeCells count="8">
    <mergeCell ref="B44:I44"/>
    <mergeCell ref="B45:I45"/>
    <mergeCell ref="B46:I46"/>
    <mergeCell ref="B1:I1"/>
    <mergeCell ref="B38:I38"/>
    <mergeCell ref="B41:I41"/>
    <mergeCell ref="B42:I42"/>
    <mergeCell ref="B43:I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Historical Financials</vt:lpstr>
      <vt:lpstr>Assumptions</vt:lpstr>
      <vt:lpstr>Financial Forecasts</vt:lpstr>
      <vt:lpstr>DCF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Shivani Thakur</cp:lastModifiedBy>
  <cp:revision>0</cp:revision>
  <dcterms:created xsi:type="dcterms:W3CDTF">2026-03-09T13:41:22Z</dcterms:created>
  <dcterms:modified xsi:type="dcterms:W3CDTF">2026-03-19T05:26:07Z</dcterms:modified>
  <dc:language>en-US</dc:language>
</cp:coreProperties>
</file>